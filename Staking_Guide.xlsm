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s\Desktop\"/>
    </mc:Choice>
  </mc:AlternateContent>
  <xr:revisionPtr revIDLastSave="0" documentId="13_ncr:1_{0D753762-1D6C-4E3B-9789-DAD54A69662B}" xr6:coauthVersionLast="45" xr6:coauthVersionMax="45" xr10:uidLastSave="{00000000-0000-0000-0000-000000000000}"/>
  <bookViews>
    <workbookView xWindow="28680" yWindow="-120" windowWidth="29040" windowHeight="15840" activeTab="1" xr2:uid="{598BEEC3-04A8-45D0-A6D0-E70A2D2FEF8E}"/>
  </bookViews>
  <sheets>
    <sheet name="Calculator" sheetId="1" r:id="rId1"/>
    <sheet name="ada_usd" sheetId="2" r:id="rId2"/>
  </sheets>
  <definedNames>
    <definedName name="ex.rate">Calculator!$C$4</definedName>
    <definedName name="ex.rate2">Calculator!$D$32</definedName>
    <definedName name="purchases">Calculator!$C$8</definedName>
    <definedName name="ROS">Calculator!$C$12</definedName>
    <definedName name="target_income">Calculator!$C$3</definedName>
    <definedName name="target_income_result">Calculator!$D$27</definedName>
    <definedName name="time_horizon">Calculator!$C$11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C25" i="1" l="1"/>
  <c r="K23" i="1"/>
  <c r="D35" i="1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I2" i="2"/>
  <c r="I3" i="2" s="1"/>
  <c r="C24" i="1"/>
  <c r="D24" i="1" s="1"/>
  <c r="D25" i="1" l="1"/>
  <c r="K26" i="1"/>
  <c r="K24" i="1" l="1"/>
  <c r="D27" i="1"/>
  <c r="K27" i="1"/>
  <c r="D30" i="1"/>
  <c r="D36" i="1" s="1"/>
  <c r="D29" i="1" l="1"/>
</calcChain>
</file>

<file path=xl/sharedStrings.xml><?xml version="1.0" encoding="utf-8"?>
<sst xmlns="http://schemas.openxmlformats.org/spreadsheetml/2006/main" count="1190" uniqueCount="1188">
  <si>
    <t>ADA</t>
  </si>
  <si>
    <t>USD</t>
  </si>
  <si>
    <t>Staking Rewards</t>
  </si>
  <si>
    <t>Annual Staking Income</t>
  </si>
  <si>
    <t>Total ADA Price Multiplier</t>
  </si>
  <si>
    <t>Current ADA Price</t>
  </si>
  <si>
    <t>Target ADA Price</t>
  </si>
  <si>
    <t>Target Annual Income</t>
  </si>
  <si>
    <t>Total</t>
  </si>
  <si>
    <t>Total Future Portfolio Value</t>
  </si>
  <si>
    <t>Initial Investment</t>
  </si>
  <si>
    <t>Initial Price</t>
  </si>
  <si>
    <t>Target Price</t>
  </si>
  <si>
    <t>Target Investment</t>
  </si>
  <si>
    <t>Expected Annual Price Growth</t>
  </si>
  <si>
    <t>RESULTS</t>
  </si>
  <si>
    <t>Enter Your Portfolio (ADA)</t>
  </si>
  <si>
    <t>Enter Your Annual Purchases (ADA)</t>
  </si>
  <si>
    <t>Enter Estimated Return on Staking</t>
  </si>
  <si>
    <t>INPUTS</t>
  </si>
  <si>
    <t>Enter Your Time Horizon (years)</t>
  </si>
  <si>
    <t>&lt;--HODL Period</t>
  </si>
  <si>
    <t xml:space="preserve">&lt;--Expected ROS </t>
  </si>
  <si>
    <t>&lt;--How much in USD you'd like to make in staking</t>
  </si>
  <si>
    <t>&lt;--Current ADA price</t>
  </si>
  <si>
    <t>snapped_at</t>
  </si>
  <si>
    <t>price</t>
  </si>
  <si>
    <t>market_cap</t>
  </si>
  <si>
    <t>total_volume</t>
  </si>
  <si>
    <t>2017-10-18 00:00:00 UTC</t>
  </si>
  <si>
    <t>st.dev daily</t>
  </si>
  <si>
    <t>2017-10-19 00:00:00 UTC</t>
  </si>
  <si>
    <t>st.dev annual</t>
  </si>
  <si>
    <t>2017-10-20 00:00:00 UTC</t>
  </si>
  <si>
    <t>2017-10-21 00:00:00 UTC</t>
  </si>
  <si>
    <t>2017-10-22 00:00:00 UTC</t>
  </si>
  <si>
    <t>2017-10-23 00:00:00 UTC</t>
  </si>
  <si>
    <t>2017-10-24 00:00:00 UTC</t>
  </si>
  <si>
    <t>2017-10-25 00:00:00 UTC</t>
  </si>
  <si>
    <t>2017-10-26 00:00:00 UTC</t>
  </si>
  <si>
    <t>2017-10-27 00:00:00 UTC</t>
  </si>
  <si>
    <t>2017-10-28 00:00:00 UTC</t>
  </si>
  <si>
    <t>2017-10-29 00:00:00 UTC</t>
  </si>
  <si>
    <t>2017-10-30 00:00:00 UTC</t>
  </si>
  <si>
    <t>2017-10-31 00:00:00 UTC</t>
  </si>
  <si>
    <t>2017-11-01 00:00:00 UTC</t>
  </si>
  <si>
    <t>2017-11-02 00:00:00 UTC</t>
  </si>
  <si>
    <t>2017-11-03 00:00:00 UTC</t>
  </si>
  <si>
    <t>2017-11-04 00:00:00 UTC</t>
  </si>
  <si>
    <t>2017-11-05 00:00:00 UTC</t>
  </si>
  <si>
    <t>2017-11-06 00:00:00 UTC</t>
  </si>
  <si>
    <t>2017-11-07 00:00:00 UTC</t>
  </si>
  <si>
    <t>2017-11-08 00:00:00 UTC</t>
  </si>
  <si>
    <t>2017-11-09 00:00:00 UTC</t>
  </si>
  <si>
    <t>2017-11-10 00:00:00 UTC</t>
  </si>
  <si>
    <t>2017-11-11 00:00:00 UTC</t>
  </si>
  <si>
    <t>2017-11-12 00:00:00 UTC</t>
  </si>
  <si>
    <t>2017-11-13 00:00:00 UTC</t>
  </si>
  <si>
    <t>2017-11-14 00:00:00 UTC</t>
  </si>
  <si>
    <t>2017-11-15 00:00:00 UTC</t>
  </si>
  <si>
    <t>2017-11-16 00:00:00 UTC</t>
  </si>
  <si>
    <t>2017-11-17 00:00:00 UTC</t>
  </si>
  <si>
    <t>2017-11-18 00:00:00 UTC</t>
  </si>
  <si>
    <t>2017-11-19 00:00:00 UTC</t>
  </si>
  <si>
    <t>2017-11-20 00:00:00 UTC</t>
  </si>
  <si>
    <t>2017-11-21 00:00:00 UTC</t>
  </si>
  <si>
    <t>2017-11-22 00:00:00 UTC</t>
  </si>
  <si>
    <t>2017-11-23 00:00:00 UTC</t>
  </si>
  <si>
    <t>2017-11-24 00:00:00 UTC</t>
  </si>
  <si>
    <t>2017-11-25 00:00:00 UTC</t>
  </si>
  <si>
    <t>2017-11-26 00:00:00 UTC</t>
  </si>
  <si>
    <t>2017-11-27 00:00:00 UTC</t>
  </si>
  <si>
    <t>2017-11-28 00:00:00 UTC</t>
  </si>
  <si>
    <t>2017-11-29 00:00:00 UTC</t>
  </si>
  <si>
    <t>2017-11-30 00:00:00 UTC</t>
  </si>
  <si>
    <t>2017-12-01 00:00:00 UTC</t>
  </si>
  <si>
    <t>2017-12-02 00:00:00 UTC</t>
  </si>
  <si>
    <t>2017-12-03 00:00:00 UTC</t>
  </si>
  <si>
    <t>2017-12-04 00:00:00 UTC</t>
  </si>
  <si>
    <t>2017-12-05 00:00:00 UTC</t>
  </si>
  <si>
    <t>2017-12-06 00:00:00 UTC</t>
  </si>
  <si>
    <t>2017-12-07 00:00:00 UTC</t>
  </si>
  <si>
    <t>2017-12-08 00:00:00 UTC</t>
  </si>
  <si>
    <t>2017-12-09 00:00:00 UTC</t>
  </si>
  <si>
    <t>2017-12-10 00:00:00 UTC</t>
  </si>
  <si>
    <t>2017-12-11 00:00:00 UTC</t>
  </si>
  <si>
    <t>2017-12-12 00:00:00 UTC</t>
  </si>
  <si>
    <t>2017-12-13 00:00:00 UTC</t>
  </si>
  <si>
    <t>2017-12-14 00:00:00 UTC</t>
  </si>
  <si>
    <t>2017-12-15 00:00:00 UTC</t>
  </si>
  <si>
    <t>2017-12-16 00:00:00 UTC</t>
  </si>
  <si>
    <t>2017-12-17 00:00:00 UTC</t>
  </si>
  <si>
    <t>2017-12-18 00:00:00 UTC</t>
  </si>
  <si>
    <t>2017-12-19 00:00:00 UTC</t>
  </si>
  <si>
    <t>2017-12-20 00:00:00 UTC</t>
  </si>
  <si>
    <t>2017-12-21 00:00:00 UTC</t>
  </si>
  <si>
    <t>2017-12-22 00:00:00 UTC</t>
  </si>
  <si>
    <t>2017-12-23 00:00:00 UTC</t>
  </si>
  <si>
    <t>2017-12-24 00:00:00 UTC</t>
  </si>
  <si>
    <t>2017-12-25 00:00:00 UTC</t>
  </si>
  <si>
    <t>2017-12-26 00:00:00 UTC</t>
  </si>
  <si>
    <t>2017-12-27 00:00:00 UTC</t>
  </si>
  <si>
    <t>2017-12-28 00:00:00 UTC</t>
  </si>
  <si>
    <t>2017-12-29 00:00:00 UTC</t>
  </si>
  <si>
    <t>2017-12-30 00:00:00 UTC</t>
  </si>
  <si>
    <t>2017-12-31 00:00:00 UTC</t>
  </si>
  <si>
    <t>2018-01-01 00:00:00 UTC</t>
  </si>
  <si>
    <t>2018-01-02 00:00:00 UTC</t>
  </si>
  <si>
    <t>2018-01-03 00:00:00 UTC</t>
  </si>
  <si>
    <t>2018-01-04 00:00:00 UTC</t>
  </si>
  <si>
    <t>2018-01-05 00:00:00 UTC</t>
  </si>
  <si>
    <t>2018-01-06 00:00:00 UTC</t>
  </si>
  <si>
    <t>2018-01-07 00:00:00 UTC</t>
  </si>
  <si>
    <t>2018-01-08 00:00:00 UTC</t>
  </si>
  <si>
    <t>2018-01-09 00:00:00 UTC</t>
  </si>
  <si>
    <t>2018-01-10 00:00:00 UTC</t>
  </si>
  <si>
    <t>2018-01-11 00:00:00 UTC</t>
  </si>
  <si>
    <t>2018-01-12 00:00:00 UTC</t>
  </si>
  <si>
    <t>2018-01-13 00:00:00 UTC</t>
  </si>
  <si>
    <t>2018-01-14 00:00:00 UTC</t>
  </si>
  <si>
    <t>2018-01-15 00:00:00 UTC</t>
  </si>
  <si>
    <t>2018-01-16 00:00:00 UTC</t>
  </si>
  <si>
    <t>2018-01-17 00:00:00 UTC</t>
  </si>
  <si>
    <t>2018-01-18 00:00:00 UTC</t>
  </si>
  <si>
    <t>2018-01-19 00:00:00 UTC</t>
  </si>
  <si>
    <t>2018-01-20 00:00:00 UTC</t>
  </si>
  <si>
    <t>2018-01-21 00:00:00 UTC</t>
  </si>
  <si>
    <t>2018-01-22 00:00:00 UTC</t>
  </si>
  <si>
    <t>2018-01-23 00:00:00 UTC</t>
  </si>
  <si>
    <t>2018-01-24 00:00:00 UTC</t>
  </si>
  <si>
    <t>2018-01-25 00:00:00 UTC</t>
  </si>
  <si>
    <t>2018-01-26 00:00:00 UTC</t>
  </si>
  <si>
    <t>2018-01-27 00:00:00 UTC</t>
  </si>
  <si>
    <t>2018-01-28 00:00:00 UTC</t>
  </si>
  <si>
    <t>2018-01-29 00:00:00 UTC</t>
  </si>
  <si>
    <t>2018-01-30 00:05:21 UTC</t>
  </si>
  <si>
    <t>2018-01-31 00:00:00 UTC</t>
  </si>
  <si>
    <t>2018-02-01 00:00:00 UTC</t>
  </si>
  <si>
    <t>2018-02-02 00:00:00 UTC</t>
  </si>
  <si>
    <t>2018-02-03 00:00:00 UTC</t>
  </si>
  <si>
    <t>2018-02-04 00:00:00 UTC</t>
  </si>
  <si>
    <t>2018-02-05 00:00:00 UTC</t>
  </si>
  <si>
    <t>2018-02-06 00:00:00 UTC</t>
  </si>
  <si>
    <t>2018-02-07 00:00:00 UTC</t>
  </si>
  <si>
    <t>2018-02-08 00:05:18 UTC</t>
  </si>
  <si>
    <t>2018-02-09 00:00:00 UTC</t>
  </si>
  <si>
    <t>2018-02-10 00:00:00 UTC</t>
  </si>
  <si>
    <t>2018-02-11 00:00:00 UTC</t>
  </si>
  <si>
    <t>2018-02-12 00:00:00 UTC</t>
  </si>
  <si>
    <t>2018-02-13 00:00:00 UTC</t>
  </si>
  <si>
    <t>2018-02-14 00:00:00 UTC</t>
  </si>
  <si>
    <t>2018-02-15 00:00:00 UTC</t>
  </si>
  <si>
    <t>2018-02-16 00:00:00 UTC</t>
  </si>
  <si>
    <t>2018-02-17 00:00:00 UTC</t>
  </si>
  <si>
    <t>2018-02-18 00:00:00 UTC</t>
  </si>
  <si>
    <t>2018-02-19 00:00:00 UTC</t>
  </si>
  <si>
    <t>2018-02-20 00:00:00 UTC</t>
  </si>
  <si>
    <t>2018-02-21 00:00:00 UTC</t>
  </si>
  <si>
    <t>2018-02-22 00:00:00 UTC</t>
  </si>
  <si>
    <t>2018-02-23 00:00:00 UTC</t>
  </si>
  <si>
    <t>2018-02-24 00:00:00 UTC</t>
  </si>
  <si>
    <t>2018-02-25 00:00:00 UTC</t>
  </si>
  <si>
    <t>2018-02-26 00:00:00 UTC</t>
  </si>
  <si>
    <t>2018-02-27 00:00:00 UTC</t>
  </si>
  <si>
    <t>2018-02-28 00:00:00 UTC</t>
  </si>
  <si>
    <t>2018-03-01 00:00:00 UTC</t>
  </si>
  <si>
    <t>2018-03-02 00:00:00 UTC</t>
  </si>
  <si>
    <t>2018-03-03 00:00:00 UTC</t>
  </si>
  <si>
    <t>2018-03-04 00:00:00 UTC</t>
  </si>
  <si>
    <t>2018-03-05 00:00:00 UTC</t>
  </si>
  <si>
    <t>2018-03-06 00:00:00 UTC</t>
  </si>
  <si>
    <t>2018-03-07 00:00:00 UTC</t>
  </si>
  <si>
    <t>2018-03-08 00:00:00 UTC</t>
  </si>
  <si>
    <t>2018-03-09 00:00:00 UTC</t>
  </si>
  <si>
    <t>2018-03-10 00:00:00 UTC</t>
  </si>
  <si>
    <t>2018-03-11 00:00:00 UTC</t>
  </si>
  <si>
    <t>2018-03-12 00:00:00 UTC</t>
  </si>
  <si>
    <t>2018-03-13 00:00:00 UTC</t>
  </si>
  <si>
    <t>2018-03-14 00:00:00 UTC</t>
  </si>
  <si>
    <t>2018-03-15 00:00:00 UTC</t>
  </si>
  <si>
    <t>2018-03-16 00:00:00 UTC</t>
  </si>
  <si>
    <t>2018-03-17 00:00:00 UTC</t>
  </si>
  <si>
    <t>2018-03-18 00:00:00 UTC</t>
  </si>
  <si>
    <t>2018-03-19 00:00:00 UTC</t>
  </si>
  <si>
    <t>2018-03-20 00:00:00 UTC</t>
  </si>
  <si>
    <t>2018-03-21 00:00:00 UTC</t>
  </si>
  <si>
    <t>2018-03-22 00:00:00 UTC</t>
  </si>
  <si>
    <t>2018-03-23 00:00:00 UTC</t>
  </si>
  <si>
    <t>2018-03-24 00:00:00 UTC</t>
  </si>
  <si>
    <t>2018-03-25 00:00:00 UTC</t>
  </si>
  <si>
    <t>2018-03-26 00:00:00 UTC</t>
  </si>
  <si>
    <t>2018-03-27 00:00:00 UTC</t>
  </si>
  <si>
    <t>2018-03-28 00:00:00 UTC</t>
  </si>
  <si>
    <t>2018-03-29 00:00:00 UTC</t>
  </si>
  <si>
    <t>2018-03-30 00:00:00 UTC</t>
  </si>
  <si>
    <t>2018-03-31 00:00:00 UTC</t>
  </si>
  <si>
    <t>2018-04-01 00:00:00 UTC</t>
  </si>
  <si>
    <t>2018-04-02 00:00:00 UTC</t>
  </si>
  <si>
    <t>2018-04-03 00:00:00 UTC</t>
  </si>
  <si>
    <t>2018-04-04 00:00:00 UTC</t>
  </si>
  <si>
    <t>2018-04-05 00:00:00 UTC</t>
  </si>
  <si>
    <t>2018-04-06 00:00:00 UTC</t>
  </si>
  <si>
    <t>2018-04-07 00:00:00 UTC</t>
  </si>
  <si>
    <t>2018-04-08 00:00:00 UTC</t>
  </si>
  <si>
    <t>2018-04-09 00:00:00 UTC</t>
  </si>
  <si>
    <t>2018-04-10 00:00:00 UTC</t>
  </si>
  <si>
    <t>2018-04-11 00:00:00 UTC</t>
  </si>
  <si>
    <t>2018-04-12 00:00:00 UTC</t>
  </si>
  <si>
    <t>2018-04-13 00:00:00 UTC</t>
  </si>
  <si>
    <t>2018-04-14 00:00:00 UTC</t>
  </si>
  <si>
    <t>2018-04-15 00:00:00 UTC</t>
  </si>
  <si>
    <t>2018-04-16 00:00:00 UTC</t>
  </si>
  <si>
    <t>2018-04-17 00:00:00 UTC</t>
  </si>
  <si>
    <t>2018-04-18 00:00:00 UTC</t>
  </si>
  <si>
    <t>2018-04-19 00:00:00 UTC</t>
  </si>
  <si>
    <t>2018-04-20 00:00:00 UTC</t>
  </si>
  <si>
    <t>2018-04-21 00:00:00 UTC</t>
  </si>
  <si>
    <t>2018-04-22 00:00:00 UTC</t>
  </si>
  <si>
    <t>2018-04-23 00:00:00 UTC</t>
  </si>
  <si>
    <t>2018-04-24 00:00:00 UTC</t>
  </si>
  <si>
    <t>2018-04-25 00:00:00 UTC</t>
  </si>
  <si>
    <t>2018-04-26 00:00:00 UTC</t>
  </si>
  <si>
    <t>2018-04-27 00:00:00 UTC</t>
  </si>
  <si>
    <t>2018-04-28 00:00:00 UTC</t>
  </si>
  <si>
    <t>2018-04-29 00:00:00 UTC</t>
  </si>
  <si>
    <t>2018-04-30 00:00:00 UTC</t>
  </si>
  <si>
    <t>2018-05-01 00:00:00 UTC</t>
  </si>
  <si>
    <t>2018-05-02 00:00:00 UTC</t>
  </si>
  <si>
    <t>2018-05-03 00:00:00 UTC</t>
  </si>
  <si>
    <t>2018-05-04 00:00:00 UTC</t>
  </si>
  <si>
    <t>2018-05-05 00:00:00 UTC</t>
  </si>
  <si>
    <t>2018-05-06 00:00:00 UTC</t>
  </si>
  <si>
    <t>2018-05-07 00:00:00 UTC</t>
  </si>
  <si>
    <t>2018-05-08 00:00:00 UTC</t>
  </si>
  <si>
    <t>2018-05-09 00:00:00 UTC</t>
  </si>
  <si>
    <t>2018-05-10 00:00:00 UTC</t>
  </si>
  <si>
    <t>2018-05-11 00:00:00 UTC</t>
  </si>
  <si>
    <t>2018-05-12 00:00:00 UTC</t>
  </si>
  <si>
    <t>2018-05-13 00:00:00 UTC</t>
  </si>
  <si>
    <t>2018-05-14 00:00:00 UTC</t>
  </si>
  <si>
    <t>2018-05-15 00:00:00 UTC</t>
  </si>
  <si>
    <t>2018-05-16 00:00:00 UTC</t>
  </si>
  <si>
    <t>2018-05-17 00:00:00 UTC</t>
  </si>
  <si>
    <t>2018-05-18 00:00:00 UTC</t>
  </si>
  <si>
    <t>2018-05-19 00:00:00 UTC</t>
  </si>
  <si>
    <t>2018-05-20 00:00:00 UTC</t>
  </si>
  <si>
    <t>2018-05-21 00:00:00 UTC</t>
  </si>
  <si>
    <t>2018-05-22 00:00:00 UTC</t>
  </si>
  <si>
    <t>2018-05-23 00:00:00 UTC</t>
  </si>
  <si>
    <t>2018-05-24 00:00:00 UTC</t>
  </si>
  <si>
    <t>2018-05-25 00:00:00 UTC</t>
  </si>
  <si>
    <t>2018-05-26 00:00:00 UTC</t>
  </si>
  <si>
    <t>2018-05-27 00:00:00 UTC</t>
  </si>
  <si>
    <t>2018-05-28 00:00:00 UTC</t>
  </si>
  <si>
    <t>2018-05-29 00:00:00 UTC</t>
  </si>
  <si>
    <t>2018-05-30 00:00:00 UTC</t>
  </si>
  <si>
    <t>2018-05-31 00:00:00 UTC</t>
  </si>
  <si>
    <t>2018-06-01 00:00:00 UTC</t>
  </si>
  <si>
    <t>2018-06-02 00:00:00 UTC</t>
  </si>
  <si>
    <t>2018-06-03 00:00:00 UTC</t>
  </si>
  <si>
    <t>2018-06-04 00:00:00 UTC</t>
  </si>
  <si>
    <t>2018-06-05 00:00:00 UTC</t>
  </si>
  <si>
    <t>2018-06-06 00:00:00 UTC</t>
  </si>
  <si>
    <t>2018-06-07 00:00:00 UTC</t>
  </si>
  <si>
    <t>2018-06-08 00:00:00 UTC</t>
  </si>
  <si>
    <t>2018-06-09 00:00:00 UTC</t>
  </si>
  <si>
    <t>2018-06-10 00:00:00 UTC</t>
  </si>
  <si>
    <t>2018-06-11 00:00:00 UTC</t>
  </si>
  <si>
    <t>2018-06-12 00:00:00 UTC</t>
  </si>
  <si>
    <t>2018-06-13 00:00:00 UTC</t>
  </si>
  <si>
    <t>2018-06-14 00:00:00 UTC</t>
  </si>
  <si>
    <t>2018-06-15 00:00:00 UTC</t>
  </si>
  <si>
    <t>2018-06-16 00:00:00 UTC</t>
  </si>
  <si>
    <t>2018-06-17 00:00:00 UTC</t>
  </si>
  <si>
    <t>2018-06-18 00:00:00 UTC</t>
  </si>
  <si>
    <t>2018-06-19 00:00:00 UTC</t>
  </si>
  <si>
    <t>2018-06-20 00:00:00 UTC</t>
  </si>
  <si>
    <t>2018-06-21 00:00:00 UTC</t>
  </si>
  <si>
    <t>2018-06-22 00:00:00 UTC</t>
  </si>
  <si>
    <t>2018-06-23 00:00:00 UTC</t>
  </si>
  <si>
    <t>2018-06-24 00:00:00 UTC</t>
  </si>
  <si>
    <t>2018-06-25 00:00:00 UTC</t>
  </si>
  <si>
    <t>2018-06-26 00:00:00 UTC</t>
  </si>
  <si>
    <t>2018-06-27 00:00:00 UTC</t>
  </si>
  <si>
    <t>2018-06-28 00:00:00 UTC</t>
  </si>
  <si>
    <t>2018-06-29 00:00:00 UTC</t>
  </si>
  <si>
    <t>2018-06-30 00:00:00 UTC</t>
  </si>
  <si>
    <t>2018-07-01 00:00:00 UTC</t>
  </si>
  <si>
    <t>2018-07-02 00:00:00 UTC</t>
  </si>
  <si>
    <t>2018-07-03 00:00:00 UTC</t>
  </si>
  <si>
    <t>2018-07-04 00:00:00 UTC</t>
  </si>
  <si>
    <t>2018-07-05 00:00:00 UTC</t>
  </si>
  <si>
    <t>2018-07-06 00:00:00 UTC</t>
  </si>
  <si>
    <t>2018-07-07 00:00:00 UTC</t>
  </si>
  <si>
    <t>2018-07-08 00:00:00 UTC</t>
  </si>
  <si>
    <t>2018-07-09 00:00:00 UTC</t>
  </si>
  <si>
    <t>2018-07-10 00:00:00 UTC</t>
  </si>
  <si>
    <t>2018-07-11 00:00:00 UTC</t>
  </si>
  <si>
    <t>2018-07-12 00:00:00 UTC</t>
  </si>
  <si>
    <t>2018-07-13 00:00:00 UTC</t>
  </si>
  <si>
    <t>2018-07-14 00:00:00 UTC</t>
  </si>
  <si>
    <t>2018-07-15 00:00:00 UTC</t>
  </si>
  <si>
    <t>2018-07-16 00:00:00 UTC</t>
  </si>
  <si>
    <t>2018-07-17 00:00:00 UTC</t>
  </si>
  <si>
    <t>2018-07-18 00:00:00 UTC</t>
  </si>
  <si>
    <t>2018-07-19 00:00:00 UTC</t>
  </si>
  <si>
    <t>2018-07-20 00:00:00 UTC</t>
  </si>
  <si>
    <t>2018-07-21 00:00:00 UTC</t>
  </si>
  <si>
    <t>2018-07-22 00:00:00 UTC</t>
  </si>
  <si>
    <t>2018-07-23 00:00:00 UTC</t>
  </si>
  <si>
    <t>2018-07-24 00:00:00 UTC</t>
  </si>
  <si>
    <t>2018-07-25 00:00:00 UTC</t>
  </si>
  <si>
    <t>2018-07-26 00:00:00 UTC</t>
  </si>
  <si>
    <t>2018-07-27 00:00:00 UTC</t>
  </si>
  <si>
    <t>2018-07-28 00:00:00 UTC</t>
  </si>
  <si>
    <t>2018-07-29 00:00:00 UTC</t>
  </si>
  <si>
    <t>2018-07-30 00:00:00 UTC</t>
  </si>
  <si>
    <t>2018-07-31 00:00:00 UTC</t>
  </si>
  <si>
    <t>2018-08-01 00:00:00 UTC</t>
  </si>
  <si>
    <t>2018-08-02 00:00:00 UTC</t>
  </si>
  <si>
    <t>2018-08-03 00:00:00 UTC</t>
  </si>
  <si>
    <t>2018-08-04 00:00:00 UTC</t>
  </si>
  <si>
    <t>2018-08-05 00:00:00 UTC</t>
  </si>
  <si>
    <t>2018-08-06 00:00:00 UTC</t>
  </si>
  <si>
    <t>2018-08-07 00:00:00 UTC</t>
  </si>
  <si>
    <t>2018-08-08 00:00:00 UTC</t>
  </si>
  <si>
    <t>2018-08-09 00:00:00 UTC</t>
  </si>
  <si>
    <t>2018-08-10 00:00:00 UTC</t>
  </si>
  <si>
    <t>2018-08-11 00:00:00 UTC</t>
  </si>
  <si>
    <t>2018-08-12 00:00:00 UTC</t>
  </si>
  <si>
    <t>2018-08-13 00:00:00 UTC</t>
  </si>
  <si>
    <t>2018-08-14 00:00:00 UTC</t>
  </si>
  <si>
    <t>2018-08-15 00:00:00 UTC</t>
  </si>
  <si>
    <t>2018-08-16 00:00:00 UTC</t>
  </si>
  <si>
    <t>2018-08-17 00:00:00 UTC</t>
  </si>
  <si>
    <t>2018-08-18 00:00:00 UTC</t>
  </si>
  <si>
    <t>2018-08-19 00:00:00 UTC</t>
  </si>
  <si>
    <t>2018-08-20 00:00:00 UTC</t>
  </si>
  <si>
    <t>2018-08-21 00:00:00 UTC</t>
  </si>
  <si>
    <t>2018-08-22 00:00:00 UTC</t>
  </si>
  <si>
    <t>2018-08-23 00:00:00 UTC</t>
  </si>
  <si>
    <t>2018-08-24 00:00:00 UTC</t>
  </si>
  <si>
    <t>2018-08-25 00:00:00 UTC</t>
  </si>
  <si>
    <t>2018-08-26 00:00:00 UTC</t>
  </si>
  <si>
    <t>2018-08-27 00:00:00 UTC</t>
  </si>
  <si>
    <t>2018-08-28 00:00:00 UTC</t>
  </si>
  <si>
    <t>2018-08-29 00:00:00 UTC</t>
  </si>
  <si>
    <t>2018-08-30 00:00:00 UTC</t>
  </si>
  <si>
    <t>2018-08-31 00:00:00 UTC</t>
  </si>
  <si>
    <t>2018-09-01 00:00:00 UTC</t>
  </si>
  <si>
    <t>2018-09-02 00:00:00 UTC</t>
  </si>
  <si>
    <t>2018-09-03 00:00:00 UTC</t>
  </si>
  <si>
    <t>2018-09-04 00:00:00 UTC</t>
  </si>
  <si>
    <t>2018-09-05 00:00:00 UTC</t>
  </si>
  <si>
    <t>2018-09-06 00:00:00 UTC</t>
  </si>
  <si>
    <t>2018-09-07 00:00:00 UTC</t>
  </si>
  <si>
    <t>2018-09-08 00:00:00 UTC</t>
  </si>
  <si>
    <t>2018-09-09 00:00:00 UTC</t>
  </si>
  <si>
    <t>2018-09-10 00:00:00 UTC</t>
  </si>
  <si>
    <t>2018-09-11 00:00:00 UTC</t>
  </si>
  <si>
    <t>2018-09-12 00:00:00 UTC</t>
  </si>
  <si>
    <t>2018-09-13 00:00:00 UTC</t>
  </si>
  <si>
    <t>2018-09-14 00:00:00 UTC</t>
  </si>
  <si>
    <t>2018-09-15 00:00:00 UTC</t>
  </si>
  <si>
    <t>2018-09-16 00:00:00 UTC</t>
  </si>
  <si>
    <t>2018-09-17 00:00:00 UTC</t>
  </si>
  <si>
    <t>2018-09-18 00:00:00 UTC</t>
  </si>
  <si>
    <t>2018-09-19 00:00:00 UTC</t>
  </si>
  <si>
    <t>2018-09-20 00:00:00 UTC</t>
  </si>
  <si>
    <t>2018-09-21 00:00:00 UTC</t>
  </si>
  <si>
    <t>2018-09-22 00:00:00 UTC</t>
  </si>
  <si>
    <t>2018-09-23 00:00:00 UTC</t>
  </si>
  <si>
    <t>2018-09-24 00:00:00 UTC</t>
  </si>
  <si>
    <t>2018-09-25 00:00:00 UTC</t>
  </si>
  <si>
    <t>2018-09-26 00:00:00 UTC</t>
  </si>
  <si>
    <t>2018-09-27 00:00:00 UTC</t>
  </si>
  <si>
    <t>2018-09-28 00:00:00 UTC</t>
  </si>
  <si>
    <t>2018-09-29 00:00:00 UTC</t>
  </si>
  <si>
    <t>2018-09-30 00:00:00 UTC</t>
  </si>
  <si>
    <t>2018-10-01 00:00:00 UTC</t>
  </si>
  <si>
    <t>2018-10-02 00:00:00 UTC</t>
  </si>
  <si>
    <t>2018-10-03 00:00:00 UTC</t>
  </si>
  <si>
    <t>2018-10-04 00:00:00 UTC</t>
  </si>
  <si>
    <t>2018-10-05 00:00:00 UTC</t>
  </si>
  <si>
    <t>2018-10-06 00:00:00 UTC</t>
  </si>
  <si>
    <t>2018-10-07 00:00:00 UTC</t>
  </si>
  <si>
    <t>2018-10-08 00:00:00 UTC</t>
  </si>
  <si>
    <t>2018-10-09 00:00:00 UTC</t>
  </si>
  <si>
    <t>2018-10-10 00:00:00 UTC</t>
  </si>
  <si>
    <t>2018-10-11 00:00:00 UTC</t>
  </si>
  <si>
    <t>2018-10-12 00:00:00 UTC</t>
  </si>
  <si>
    <t>2018-10-13 00:00:00 UTC</t>
  </si>
  <si>
    <t>2018-10-14 00:00:00 UTC</t>
  </si>
  <si>
    <t>2018-10-15 00:00:00 UTC</t>
  </si>
  <si>
    <t>2018-10-16 00:00:00 UTC</t>
  </si>
  <si>
    <t>2018-10-17 00:00:00 UTC</t>
  </si>
  <si>
    <t>2018-10-18 00:00:00 UTC</t>
  </si>
  <si>
    <t>2018-10-19 00:00:00 UTC</t>
  </si>
  <si>
    <t>2018-10-20 00:00:00 UTC</t>
  </si>
  <si>
    <t>2018-10-21 00:00:00 UTC</t>
  </si>
  <si>
    <t>2018-10-22 00:00:00 UTC</t>
  </si>
  <si>
    <t>2018-10-23 00:00:00 UTC</t>
  </si>
  <si>
    <t>2018-10-24 00:00:00 UTC</t>
  </si>
  <si>
    <t>2018-10-25 00:00:00 UTC</t>
  </si>
  <si>
    <t>2018-10-26 00:00:00 UTC</t>
  </si>
  <si>
    <t>2018-10-27 00:00:00 UTC</t>
  </si>
  <si>
    <t>2018-10-28 00:00:00 UTC</t>
  </si>
  <si>
    <t>2018-10-29 00:00:00 UTC</t>
  </si>
  <si>
    <t>2018-10-30 00:00:00 UTC</t>
  </si>
  <si>
    <t>2018-10-31 00:00:00 UTC</t>
  </si>
  <si>
    <t>2018-11-01 00:00:00 UTC</t>
  </si>
  <si>
    <t>2018-11-02 00:00:00 UTC</t>
  </si>
  <si>
    <t>2018-11-03 00:00:00 UTC</t>
  </si>
  <si>
    <t>2018-11-04 00:00:00 UTC</t>
  </si>
  <si>
    <t>2018-11-05 00:00:00 UTC</t>
  </si>
  <si>
    <t>2018-11-06 00:00:00 UTC</t>
  </si>
  <si>
    <t>2018-11-07 00:00:00 UTC</t>
  </si>
  <si>
    <t>2018-11-08 00:00:00 UTC</t>
  </si>
  <si>
    <t>2018-11-09 00:00:00 UTC</t>
  </si>
  <si>
    <t>2018-11-10 00:00:00 UTC</t>
  </si>
  <si>
    <t>2018-11-11 00:00:00 UTC</t>
  </si>
  <si>
    <t>2018-11-12 00:00:00 UTC</t>
  </si>
  <si>
    <t>2018-11-13 00:00:00 UTC</t>
  </si>
  <si>
    <t>2018-11-14 00:00:00 UTC</t>
  </si>
  <si>
    <t>2018-11-15 00:00:00 UTC</t>
  </si>
  <si>
    <t>2018-11-16 00:00:00 UTC</t>
  </si>
  <si>
    <t>2018-11-17 00:00:00 UTC</t>
  </si>
  <si>
    <t>2018-11-18 00:00:00 UTC</t>
  </si>
  <si>
    <t>2018-11-19 00:00:00 UTC</t>
  </si>
  <si>
    <t>2018-11-20 00:00:00 UTC</t>
  </si>
  <si>
    <t>2018-11-21 00:00:00 UTC</t>
  </si>
  <si>
    <t>2018-11-22 00:00:00 UTC</t>
  </si>
  <si>
    <t>2018-11-23 00:00:00 UTC</t>
  </si>
  <si>
    <t>2018-11-24 00:00:00 UTC</t>
  </si>
  <si>
    <t>2018-11-25 00:00:00 UTC</t>
  </si>
  <si>
    <t>2018-11-26 00:00:00 UTC</t>
  </si>
  <si>
    <t>2018-11-27 00:00:00 UTC</t>
  </si>
  <si>
    <t>2018-11-28 00:00:00 UTC</t>
  </si>
  <si>
    <t>2018-11-29 00:00:00 UTC</t>
  </si>
  <si>
    <t>2018-11-30 00:00:00 UTC</t>
  </si>
  <si>
    <t>2018-12-01 00:00:00 UTC</t>
  </si>
  <si>
    <t>2018-12-02 00:00:00 UTC</t>
  </si>
  <si>
    <t>2018-12-03 00:00:00 UTC</t>
  </si>
  <si>
    <t>2018-12-04 00:00:00 UTC</t>
  </si>
  <si>
    <t>2018-12-05 00:00:00 UTC</t>
  </si>
  <si>
    <t>2018-12-06 00:00:00 UTC</t>
  </si>
  <si>
    <t>2018-12-07 00:00:00 UTC</t>
  </si>
  <si>
    <t>2018-12-08 00:00:00 UTC</t>
  </si>
  <si>
    <t>2018-12-09 00:00:00 UTC</t>
  </si>
  <si>
    <t>2018-12-10 00:00:00 UTC</t>
  </si>
  <si>
    <t>2018-12-11 00:00:00 UTC</t>
  </si>
  <si>
    <t>2018-12-12 00:00:00 UTC</t>
  </si>
  <si>
    <t>2018-12-13 00:00:00 UTC</t>
  </si>
  <si>
    <t>2018-12-14 00:00:00 UTC</t>
  </si>
  <si>
    <t>2018-12-15 00:00:00 UTC</t>
  </si>
  <si>
    <t>2018-12-16 00:00:00 UTC</t>
  </si>
  <si>
    <t>2018-12-17 00:00:00 UTC</t>
  </si>
  <si>
    <t>2018-12-18 00:00:00 UTC</t>
  </si>
  <si>
    <t>2018-12-19 00:00:00 UTC</t>
  </si>
  <si>
    <t>2018-12-20 00:00:00 UTC</t>
  </si>
  <si>
    <t>2018-12-21 00:00:00 UTC</t>
  </si>
  <si>
    <t>2018-12-22 00:00:00 UTC</t>
  </si>
  <si>
    <t>2018-12-23 00:00:00 UTC</t>
  </si>
  <si>
    <t>2018-12-24 00:00:00 UTC</t>
  </si>
  <si>
    <t>2018-12-25 00:00:00 UTC</t>
  </si>
  <si>
    <t>2018-12-26 00:00:00 UTC</t>
  </si>
  <si>
    <t>2018-12-27 00:00:00 UTC</t>
  </si>
  <si>
    <t>2018-12-28 00:00:00 UTC</t>
  </si>
  <si>
    <t>2018-12-29 00:00:00 UTC</t>
  </si>
  <si>
    <t>2018-12-30 00:00:00 UTC</t>
  </si>
  <si>
    <t>2018-12-31 00:00:00 UTC</t>
  </si>
  <si>
    <t>2019-01-01 00:00:00 UTC</t>
  </si>
  <si>
    <t>2019-01-02 00:00:00 UTC</t>
  </si>
  <si>
    <t>2019-01-03 00:00:00 UTC</t>
  </si>
  <si>
    <t>2019-01-04 00:00:00 UTC</t>
  </si>
  <si>
    <t>2019-01-05 00:00:00 UTC</t>
  </si>
  <si>
    <t>2019-01-06 00:00:00 UTC</t>
  </si>
  <si>
    <t>2019-01-07 00:00:00 UTC</t>
  </si>
  <si>
    <t>2019-01-08 00:00:00 UTC</t>
  </si>
  <si>
    <t>2019-01-09 00:00:00 UTC</t>
  </si>
  <si>
    <t>2019-01-10 00:00:00 UTC</t>
  </si>
  <si>
    <t>2019-01-11 00:00:00 UTC</t>
  </si>
  <si>
    <t>2019-01-12 00:00:00 UTC</t>
  </si>
  <si>
    <t>2019-01-13 00:00:00 UTC</t>
  </si>
  <si>
    <t>2019-01-14 00:00:00 UTC</t>
  </si>
  <si>
    <t>2019-01-15 00:00:00 UTC</t>
  </si>
  <si>
    <t>2019-01-16 00:00:00 UTC</t>
  </si>
  <si>
    <t>2019-01-17 00:00:00 UTC</t>
  </si>
  <si>
    <t>2019-01-18 00:00:00 UTC</t>
  </si>
  <si>
    <t>2019-01-19 00:00:00 UTC</t>
  </si>
  <si>
    <t>2019-01-20 00:00:00 UTC</t>
  </si>
  <si>
    <t>2019-01-21 00:00:00 UTC</t>
  </si>
  <si>
    <t>2019-01-22 00:00:00 UTC</t>
  </si>
  <si>
    <t>2019-01-23 00:00:00 UTC</t>
  </si>
  <si>
    <t>2019-01-24 00:00:00 UTC</t>
  </si>
  <si>
    <t>2019-01-25 00:00:00 UTC</t>
  </si>
  <si>
    <t>2019-01-26 00:00:00 UTC</t>
  </si>
  <si>
    <t>2019-01-27 00:00:00 UTC</t>
  </si>
  <si>
    <t>2019-01-28 00:00:00 UTC</t>
  </si>
  <si>
    <t>2019-01-29 00:00:00 UTC</t>
  </si>
  <si>
    <t>2019-01-30 00:00:00 UTC</t>
  </si>
  <si>
    <t>2019-01-31 00:00:00 UTC</t>
  </si>
  <si>
    <t>2019-02-01 00:00:00 UTC</t>
  </si>
  <si>
    <t>2019-02-02 00:00:00 UTC</t>
  </si>
  <si>
    <t>2019-02-03 00:00:00 UTC</t>
  </si>
  <si>
    <t>2019-02-04 00:00:00 UTC</t>
  </si>
  <si>
    <t>2019-02-05 00:00:00 UTC</t>
  </si>
  <si>
    <t>2019-02-06 00:00:00 UTC</t>
  </si>
  <si>
    <t>2019-02-07 00:00:00 UTC</t>
  </si>
  <si>
    <t>2019-02-08 00:00:00 UTC</t>
  </si>
  <si>
    <t>2019-02-09 00:00:00 UTC</t>
  </si>
  <si>
    <t>2019-02-10 00:00:00 UTC</t>
  </si>
  <si>
    <t>2019-02-11 00:00:00 UTC</t>
  </si>
  <si>
    <t>2019-02-12 00:00:00 UTC</t>
  </si>
  <si>
    <t>2019-02-13 00:00:00 UTC</t>
  </si>
  <si>
    <t>2019-02-14 00:00:00 UTC</t>
  </si>
  <si>
    <t>2019-02-15 00:00:00 UTC</t>
  </si>
  <si>
    <t>2019-02-16 00:00:00 UTC</t>
  </si>
  <si>
    <t>2019-02-17 00:00:00 UTC</t>
  </si>
  <si>
    <t>2019-02-18 00:00:00 UTC</t>
  </si>
  <si>
    <t>2019-02-19 00:00:00 UTC</t>
  </si>
  <si>
    <t>2019-02-20 00:00:00 UTC</t>
  </si>
  <si>
    <t>2019-02-21 00:00:00 UTC</t>
  </si>
  <si>
    <t>2019-02-22 00:00:00 UTC</t>
  </si>
  <si>
    <t>2019-02-23 00:00:00 UTC</t>
  </si>
  <si>
    <t>2019-02-24 00:00:00 UTC</t>
  </si>
  <si>
    <t>2019-02-25 00:00:00 UTC</t>
  </si>
  <si>
    <t>2019-02-26 00:00:00 UTC</t>
  </si>
  <si>
    <t>2019-02-27 00:00:00 UTC</t>
  </si>
  <si>
    <t>2019-02-28 00:00:00 UTC</t>
  </si>
  <si>
    <t>2019-03-01 00:00:00 UTC</t>
  </si>
  <si>
    <t>2019-03-02 00:00:00 UTC</t>
  </si>
  <si>
    <t>2019-03-03 00:00:00 UTC</t>
  </si>
  <si>
    <t>2019-03-04 00:00:00 UTC</t>
  </si>
  <si>
    <t>2019-03-05 00:00:00 UTC</t>
  </si>
  <si>
    <t>2019-03-06 00:00:00 UTC</t>
  </si>
  <si>
    <t>2019-03-07 00:00:00 UTC</t>
  </si>
  <si>
    <t>2019-03-08 00:00:00 UTC</t>
  </si>
  <si>
    <t>2019-03-09 00:00:00 UTC</t>
  </si>
  <si>
    <t>2019-03-10 00:00:00 UTC</t>
  </si>
  <si>
    <t>2019-03-11 00:00:00 UTC</t>
  </si>
  <si>
    <t>2019-03-12 00:00:00 UTC</t>
  </si>
  <si>
    <t>2019-03-13 00:00:00 UTC</t>
  </si>
  <si>
    <t>2019-03-14 00:00:00 UTC</t>
  </si>
  <si>
    <t>2019-03-15 00:00:00 UTC</t>
  </si>
  <si>
    <t>2019-03-16 00:00:00 UTC</t>
  </si>
  <si>
    <t>2019-03-17 00:00:00 UTC</t>
  </si>
  <si>
    <t>2019-03-18 00:00:00 UTC</t>
  </si>
  <si>
    <t>2019-03-19 00:00:00 UTC</t>
  </si>
  <si>
    <t>2019-03-20 00:00:00 UTC</t>
  </si>
  <si>
    <t>2019-03-21 00:00:00 UTC</t>
  </si>
  <si>
    <t>2019-03-22 00:00:00 UTC</t>
  </si>
  <si>
    <t>2019-03-23 00:00:00 UTC</t>
  </si>
  <si>
    <t>2019-03-24 00:00:00 UTC</t>
  </si>
  <si>
    <t>2019-03-25 00:00:00 UTC</t>
  </si>
  <si>
    <t>2019-03-26 00:00:00 UTC</t>
  </si>
  <si>
    <t>2019-03-27 00:00:00 UTC</t>
  </si>
  <si>
    <t>2019-03-28 00:00:00 UTC</t>
  </si>
  <si>
    <t>2019-03-29 00:00:00 UTC</t>
  </si>
  <si>
    <t>2019-03-30 00:00:00 UTC</t>
  </si>
  <si>
    <t>2019-03-31 00:00:00 UTC</t>
  </si>
  <si>
    <t>2019-04-01 00:00:00 UTC</t>
  </si>
  <si>
    <t>2019-04-02 00:00:00 UTC</t>
  </si>
  <si>
    <t>2019-04-03 00:00:00 UTC</t>
  </si>
  <si>
    <t>2019-04-04 00:00:00 UTC</t>
  </si>
  <si>
    <t>2019-04-05 00:00:00 UTC</t>
  </si>
  <si>
    <t>2019-04-06 00:00:00 UTC</t>
  </si>
  <si>
    <t>2019-04-07 00:00:00 UTC</t>
  </si>
  <si>
    <t>2019-04-08 00:00:00 UTC</t>
  </si>
  <si>
    <t>2019-04-09 00:00:00 UTC</t>
  </si>
  <si>
    <t>2019-04-10 00:00:00 UTC</t>
  </si>
  <si>
    <t>2019-04-11 00:00:00 UTC</t>
  </si>
  <si>
    <t>2019-04-12 00:00:00 UTC</t>
  </si>
  <si>
    <t>2019-04-13 00:00:00 UTC</t>
  </si>
  <si>
    <t>2019-04-14 00:00:00 UTC</t>
  </si>
  <si>
    <t>2019-04-15 00:00:00 UTC</t>
  </si>
  <si>
    <t>2019-04-16 00:00:00 UTC</t>
  </si>
  <si>
    <t>2019-04-17 00:00:00 UTC</t>
  </si>
  <si>
    <t>2019-04-18 00:00:00 UTC</t>
  </si>
  <si>
    <t>2019-04-19 00:00:00 UTC</t>
  </si>
  <si>
    <t>2019-04-20 00:00:00 UTC</t>
  </si>
  <si>
    <t>2019-04-21 00:00:00 UTC</t>
  </si>
  <si>
    <t>2019-04-22 00:00:00 UTC</t>
  </si>
  <si>
    <t>2019-04-23 00:00:00 UTC</t>
  </si>
  <si>
    <t>2019-04-24 00:00:00 UTC</t>
  </si>
  <si>
    <t>2019-04-25 00:00:00 UTC</t>
  </si>
  <si>
    <t>2019-04-26 00:00:00 UTC</t>
  </si>
  <si>
    <t>2019-04-27 00:00:00 UTC</t>
  </si>
  <si>
    <t>2019-04-28 00:00:00 UTC</t>
  </si>
  <si>
    <t>2019-04-29 00:00:00 UTC</t>
  </si>
  <si>
    <t>2019-04-30 00:00:00 UTC</t>
  </si>
  <si>
    <t>2019-05-01 00:00:00 UTC</t>
  </si>
  <si>
    <t>2019-05-02 00:00:00 UTC</t>
  </si>
  <si>
    <t>2019-05-03 00:00:00 UTC</t>
  </si>
  <si>
    <t>2019-05-04 00:00:00 UTC</t>
  </si>
  <si>
    <t>2019-05-05 00:00:00 UTC</t>
  </si>
  <si>
    <t>2019-05-06 00:00:00 UTC</t>
  </si>
  <si>
    <t>2019-05-07 00:00:00 UTC</t>
  </si>
  <si>
    <t>2019-05-08 00:00:00 UTC</t>
  </si>
  <si>
    <t>2019-05-09 00:00:00 UTC</t>
  </si>
  <si>
    <t>2019-05-10 00:00:00 UTC</t>
  </si>
  <si>
    <t>2019-05-11 00:00:00 UTC</t>
  </si>
  <si>
    <t>2019-05-12 00:00:00 UTC</t>
  </si>
  <si>
    <t>2019-05-13 00:00:00 UTC</t>
  </si>
  <si>
    <t>2019-05-14 00:00:00 UTC</t>
  </si>
  <si>
    <t>2019-05-15 00:00:00 UTC</t>
  </si>
  <si>
    <t>2019-05-16 00:00:00 UTC</t>
  </si>
  <si>
    <t>2019-05-17 00:00:00 UTC</t>
  </si>
  <si>
    <t>2019-05-18 00:00:00 UTC</t>
  </si>
  <si>
    <t>2019-05-19 00:00:00 UTC</t>
  </si>
  <si>
    <t>2019-05-20 00:00:00 UTC</t>
  </si>
  <si>
    <t>2019-05-21 00:00:00 UTC</t>
  </si>
  <si>
    <t>2019-05-22 00:00:00 UTC</t>
  </si>
  <si>
    <t>2019-05-23 00:00:00 UTC</t>
  </si>
  <si>
    <t>2019-05-24 00:00:00 UTC</t>
  </si>
  <si>
    <t>2019-05-25 00:00:00 UTC</t>
  </si>
  <si>
    <t>2019-05-26 00:00:00 UTC</t>
  </si>
  <si>
    <t>2019-05-27 00:00:00 UTC</t>
  </si>
  <si>
    <t>2019-05-28 00:00:00 UTC</t>
  </si>
  <si>
    <t>2019-05-29 00:00:00 UTC</t>
  </si>
  <si>
    <t>2019-05-30 00:00:00 UTC</t>
  </si>
  <si>
    <t>2019-05-31 00:00:00 UTC</t>
  </si>
  <si>
    <t>2019-06-01 00:00:00 UTC</t>
  </si>
  <si>
    <t>2019-06-02 00:00:00 UTC</t>
  </si>
  <si>
    <t>2019-06-03 00:00:00 UTC</t>
  </si>
  <si>
    <t>2019-06-04 00:00:00 UTC</t>
  </si>
  <si>
    <t>2019-06-05 00:00:00 UTC</t>
  </si>
  <si>
    <t>2019-06-06 00:00:00 UTC</t>
  </si>
  <si>
    <t>2019-06-07 00:00:00 UTC</t>
  </si>
  <si>
    <t>2019-06-08 00:00:00 UTC</t>
  </si>
  <si>
    <t>2019-06-09 00:00:00 UTC</t>
  </si>
  <si>
    <t>2019-06-10 00:00:00 UTC</t>
  </si>
  <si>
    <t>2019-06-11 00:00:00 UTC</t>
  </si>
  <si>
    <t>2019-06-12 00:00:00 UTC</t>
  </si>
  <si>
    <t>2019-06-13 00:00:00 UTC</t>
  </si>
  <si>
    <t>2019-06-14 00:00:00 UTC</t>
  </si>
  <si>
    <t>2019-06-15 00:00:00 UTC</t>
  </si>
  <si>
    <t>2019-06-16 00:00:00 UTC</t>
  </si>
  <si>
    <t>2019-06-17 00:00:00 UTC</t>
  </si>
  <si>
    <t>2019-06-18 00:00:00 UTC</t>
  </si>
  <si>
    <t>2019-06-19 00:00:00 UTC</t>
  </si>
  <si>
    <t>2019-06-20 00:00:00 UTC</t>
  </si>
  <si>
    <t>2019-06-21 00:00:00 UTC</t>
  </si>
  <si>
    <t>2019-06-22 00:00:00 UTC</t>
  </si>
  <si>
    <t>2019-06-23 00:00:00 UTC</t>
  </si>
  <si>
    <t>2019-06-24 00:00:00 UTC</t>
  </si>
  <si>
    <t>2019-06-25 00:00:00 UTC</t>
  </si>
  <si>
    <t>2019-06-26 00:00:00 UTC</t>
  </si>
  <si>
    <t>2019-06-27 00:00:00 UTC</t>
  </si>
  <si>
    <t>2019-06-28 00:00:00 UTC</t>
  </si>
  <si>
    <t>2019-06-29 00:00:00 UTC</t>
  </si>
  <si>
    <t>2019-06-30 00:00:00 UTC</t>
  </si>
  <si>
    <t>2019-07-01 00:00:00 UTC</t>
  </si>
  <si>
    <t>2019-07-02 00:00:00 UTC</t>
  </si>
  <si>
    <t>2019-07-03 00:00:00 UTC</t>
  </si>
  <si>
    <t>2019-07-04 00:00:00 UTC</t>
  </si>
  <si>
    <t>2019-07-05 00:00:00 UTC</t>
  </si>
  <si>
    <t>2019-07-06 00:00:00 UTC</t>
  </si>
  <si>
    <t>2019-07-07 00:00:00 UTC</t>
  </si>
  <si>
    <t>2019-07-08 00:00:00 UTC</t>
  </si>
  <si>
    <t>2019-07-09 00:00:00 UTC</t>
  </si>
  <si>
    <t>2019-07-10 00:00:00 UTC</t>
  </si>
  <si>
    <t>2019-07-11 00:00:00 UTC</t>
  </si>
  <si>
    <t>2019-07-12 00:00:00 UTC</t>
  </si>
  <si>
    <t>2019-07-13 00:00:00 UTC</t>
  </si>
  <si>
    <t>2019-07-14 00:00:00 UTC</t>
  </si>
  <si>
    <t>2019-07-15 00:00:00 UTC</t>
  </si>
  <si>
    <t>2019-07-16 00:00:00 UTC</t>
  </si>
  <si>
    <t>2019-07-17 00:00:00 UTC</t>
  </si>
  <si>
    <t>2019-07-18 00:00:00 UTC</t>
  </si>
  <si>
    <t>2019-07-19 00:00:00 UTC</t>
  </si>
  <si>
    <t>2019-07-20 00:00:00 UTC</t>
  </si>
  <si>
    <t>2019-07-21 00:00:00 UTC</t>
  </si>
  <si>
    <t>2019-07-22 00:00:00 UTC</t>
  </si>
  <si>
    <t>2019-07-23 00:00:00 UTC</t>
  </si>
  <si>
    <t>2019-07-24 00:00:00 UTC</t>
  </si>
  <si>
    <t>2019-07-25 00:00:00 UTC</t>
  </si>
  <si>
    <t>2019-07-26 00:00:00 UTC</t>
  </si>
  <si>
    <t>2019-07-27 00:00:00 UTC</t>
  </si>
  <si>
    <t>2019-07-28 00:00:00 UTC</t>
  </si>
  <si>
    <t>2019-07-29 00:00:00 UTC</t>
  </si>
  <si>
    <t>2019-07-30 00:00:00 UTC</t>
  </si>
  <si>
    <t>2019-07-31 00:00:00 UTC</t>
  </si>
  <si>
    <t>2019-08-01 00:00:00 UTC</t>
  </si>
  <si>
    <t>2019-08-02 00:00:00 UTC</t>
  </si>
  <si>
    <t>2019-08-03 00:00:00 UTC</t>
  </si>
  <si>
    <t>2019-08-04 00:00:00 UTC</t>
  </si>
  <si>
    <t>2019-08-05 00:00:00 UTC</t>
  </si>
  <si>
    <t>2019-08-06 00:00:00 UTC</t>
  </si>
  <si>
    <t>2019-08-07 00:00:00 UTC</t>
  </si>
  <si>
    <t>2019-08-08 00:00:00 UTC</t>
  </si>
  <si>
    <t>2019-08-09 00:00:00 UTC</t>
  </si>
  <si>
    <t>2019-08-10 00:00:00 UTC</t>
  </si>
  <si>
    <t>2019-08-11 00:00:00 UTC</t>
  </si>
  <si>
    <t>2019-08-12 00:00:00 UTC</t>
  </si>
  <si>
    <t>2019-08-13 00:00:00 UTC</t>
  </si>
  <si>
    <t>2019-08-14 00:00:00 UTC</t>
  </si>
  <si>
    <t>2019-08-15 00:00:00 UTC</t>
  </si>
  <si>
    <t>2019-08-16 00:00:00 UTC</t>
  </si>
  <si>
    <t>2019-08-17 00:00:00 UTC</t>
  </si>
  <si>
    <t>2019-08-18 00:00:00 UTC</t>
  </si>
  <si>
    <t>2019-08-19 00:00:00 UTC</t>
  </si>
  <si>
    <t>2019-08-20 00:00:00 UTC</t>
  </si>
  <si>
    <t>2019-08-21 00:00:00 UTC</t>
  </si>
  <si>
    <t>2019-08-22 00:00:00 UTC</t>
  </si>
  <si>
    <t>2019-08-23 00:00:00 UTC</t>
  </si>
  <si>
    <t>2019-08-24 00:00:00 UTC</t>
  </si>
  <si>
    <t>2019-08-25 00:00:00 UTC</t>
  </si>
  <si>
    <t>2019-08-26 00:00:00 UTC</t>
  </si>
  <si>
    <t>2019-08-27 00:00:00 UTC</t>
  </si>
  <si>
    <t>2019-08-28 00:00:00 UTC</t>
  </si>
  <si>
    <t>2019-08-29 00:00:00 UTC</t>
  </si>
  <si>
    <t>2019-08-30 00:00:00 UTC</t>
  </si>
  <si>
    <t>2019-08-31 00:00:00 UTC</t>
  </si>
  <si>
    <t>2019-09-01 00:00:00 UTC</t>
  </si>
  <si>
    <t>2019-09-02 00:00:00 UTC</t>
  </si>
  <si>
    <t>2019-09-03 00:00:00 UTC</t>
  </si>
  <si>
    <t>2019-09-04 00:00:00 UTC</t>
  </si>
  <si>
    <t>2019-09-05 00:00:00 UTC</t>
  </si>
  <si>
    <t>2019-09-06 00:00:00 UTC</t>
  </si>
  <si>
    <t>2019-09-07 00:00:00 UTC</t>
  </si>
  <si>
    <t>2019-09-08 00:00:00 UTC</t>
  </si>
  <si>
    <t>2019-09-09 00:00:00 UTC</t>
  </si>
  <si>
    <t>2019-09-10 00:00:00 UTC</t>
  </si>
  <si>
    <t>2019-09-11 00:00:00 UTC</t>
  </si>
  <si>
    <t>2019-09-12 00:00:00 UTC</t>
  </si>
  <si>
    <t>2019-09-13 00:00:00 UTC</t>
  </si>
  <si>
    <t>2019-09-14 00:00:00 UTC</t>
  </si>
  <si>
    <t>2019-09-15 00:00:00 UTC</t>
  </si>
  <si>
    <t>2019-09-16 00:00:00 UTC</t>
  </si>
  <si>
    <t>2019-09-17 00:00:00 UTC</t>
  </si>
  <si>
    <t>2019-09-18 00:00:00 UTC</t>
  </si>
  <si>
    <t>2019-09-19 00:00:00 UTC</t>
  </si>
  <si>
    <t>2019-09-20 00:00:00 UTC</t>
  </si>
  <si>
    <t>2019-09-21 00:00:00 UTC</t>
  </si>
  <si>
    <t>2019-09-22 00:00:00 UTC</t>
  </si>
  <si>
    <t>2019-09-23 00:00:00 UTC</t>
  </si>
  <si>
    <t>2019-09-24 00:00:00 UTC</t>
  </si>
  <si>
    <t>2019-09-25 00:00:00 UTC</t>
  </si>
  <si>
    <t>2019-09-26 00:00:00 UTC</t>
  </si>
  <si>
    <t>2019-09-27 00:00:00 UTC</t>
  </si>
  <si>
    <t>2019-09-28 00:00:00 UTC</t>
  </si>
  <si>
    <t>2019-09-29 00:00:00 UTC</t>
  </si>
  <si>
    <t>2019-09-30 00:00:00 UTC</t>
  </si>
  <si>
    <t>2019-10-01 00:00:00 UTC</t>
  </si>
  <si>
    <t>2019-10-02 00:00:00 UTC</t>
  </si>
  <si>
    <t>2019-10-03 00:00:00 UTC</t>
  </si>
  <si>
    <t>2019-10-04 00:00:00 UTC</t>
  </si>
  <si>
    <t>2019-10-05 00:00:00 UTC</t>
  </si>
  <si>
    <t>2019-10-06 00:00:00 UTC</t>
  </si>
  <si>
    <t>2019-10-07 00:00:00 UTC</t>
  </si>
  <si>
    <t>2019-10-08 00:00:00 UTC</t>
  </si>
  <si>
    <t>2019-10-09 00:00:00 UTC</t>
  </si>
  <si>
    <t>2019-10-10 00:00:00 UTC</t>
  </si>
  <si>
    <t>2019-10-11 00:00:00 UTC</t>
  </si>
  <si>
    <t>2019-10-12 00:00:00 UTC</t>
  </si>
  <si>
    <t>2019-10-13 00:00:00 UTC</t>
  </si>
  <si>
    <t>2019-10-14 00:00:00 UTC</t>
  </si>
  <si>
    <t>2019-10-15 00:00:00 UTC</t>
  </si>
  <si>
    <t>2019-10-16 00:00:00 UTC</t>
  </si>
  <si>
    <t>2019-10-17 00:00:00 UTC</t>
  </si>
  <si>
    <t>2019-10-18 00:00:00 UTC</t>
  </si>
  <si>
    <t>2019-10-19 00:00:00 UTC</t>
  </si>
  <si>
    <t>2019-10-20 00:00:00 UTC</t>
  </si>
  <si>
    <t>2019-10-21 00:00:00 UTC</t>
  </si>
  <si>
    <t>2019-10-22 00:00:00 UTC</t>
  </si>
  <si>
    <t>2019-10-23 00:00:00 UTC</t>
  </si>
  <si>
    <t>2019-10-24 00:00:00 UTC</t>
  </si>
  <si>
    <t>2019-10-25 00:00:00 UTC</t>
  </si>
  <si>
    <t>2019-10-26 00:00:00 UTC</t>
  </si>
  <si>
    <t>2019-10-27 00:00:00 UTC</t>
  </si>
  <si>
    <t>2019-10-28 00:00:00 UTC</t>
  </si>
  <si>
    <t>2019-10-29 00:00:00 UTC</t>
  </si>
  <si>
    <t>2019-10-30 00:00:00 UTC</t>
  </si>
  <si>
    <t>2019-10-31 00:00:00 UTC</t>
  </si>
  <si>
    <t>2019-11-01 00:00:00 UTC</t>
  </si>
  <si>
    <t>2019-11-02 00:00:00 UTC</t>
  </si>
  <si>
    <t>2019-11-03 00:00:00 UTC</t>
  </si>
  <si>
    <t>2019-11-04 00:00:00 UTC</t>
  </si>
  <si>
    <t>2019-11-05 00:00:00 UTC</t>
  </si>
  <si>
    <t>2019-11-06 00:00:00 UTC</t>
  </si>
  <si>
    <t>2019-11-07 00:00:00 UTC</t>
  </si>
  <si>
    <t>2019-11-08 00:00:00 UTC</t>
  </si>
  <si>
    <t>2019-11-09 00:00:00 UTC</t>
  </si>
  <si>
    <t>2019-11-10 00:00:00 UTC</t>
  </si>
  <si>
    <t>2019-11-11 00:00:00 UTC</t>
  </si>
  <si>
    <t>2019-11-12 00:00:00 UTC</t>
  </si>
  <si>
    <t>2019-11-13 00:00:00 UTC</t>
  </si>
  <si>
    <t>2019-11-14 00:00:00 UTC</t>
  </si>
  <si>
    <t>2019-11-15 00:00:00 UTC</t>
  </si>
  <si>
    <t>2019-11-16 00:00:00 UTC</t>
  </si>
  <si>
    <t>2019-11-17 00:00:00 UTC</t>
  </si>
  <si>
    <t>2019-11-18 00:00:00 UTC</t>
  </si>
  <si>
    <t>2019-11-19 00:00:00 UTC</t>
  </si>
  <si>
    <t>2019-11-20 00:00:00 UTC</t>
  </si>
  <si>
    <t>2019-11-21 00:00:00 UTC</t>
  </si>
  <si>
    <t>2019-11-22 00:00:00 UTC</t>
  </si>
  <si>
    <t>2019-11-23 00:00:00 UTC</t>
  </si>
  <si>
    <t>2019-11-24 00:00:00 UTC</t>
  </si>
  <si>
    <t>2019-11-25 00:00:00 UTC</t>
  </si>
  <si>
    <t>2019-11-26 00:00:00 UTC</t>
  </si>
  <si>
    <t>2019-11-27 00:00:00 UTC</t>
  </si>
  <si>
    <t>2019-11-28 00:00:00 UTC</t>
  </si>
  <si>
    <t>2019-11-29 00:00:00 UTC</t>
  </si>
  <si>
    <t>2019-11-30 00:00:00 UTC</t>
  </si>
  <si>
    <t>2019-12-01 00:00:00 UTC</t>
  </si>
  <si>
    <t>2019-12-02 00:00:00 UTC</t>
  </si>
  <si>
    <t>2019-12-03 00:00:00 UTC</t>
  </si>
  <si>
    <t>2019-12-04 00:00:00 UTC</t>
  </si>
  <si>
    <t>2019-12-05 00:00:00 UTC</t>
  </si>
  <si>
    <t>2019-12-06 00:00:00 UTC</t>
  </si>
  <si>
    <t>2019-12-07 00:00:00 UTC</t>
  </si>
  <si>
    <t>2019-12-08 00:00:00 UTC</t>
  </si>
  <si>
    <t>2019-12-09 00:00:00 UTC</t>
  </si>
  <si>
    <t>2019-12-10 00:00:00 UTC</t>
  </si>
  <si>
    <t>2019-12-11 00:00:00 UTC</t>
  </si>
  <si>
    <t>2019-12-12 00:00:00 UTC</t>
  </si>
  <si>
    <t>2019-12-13 00:00:00 UTC</t>
  </si>
  <si>
    <t>2019-12-14 00:00:00 UTC</t>
  </si>
  <si>
    <t>2019-12-15 00:00:00 UTC</t>
  </si>
  <si>
    <t>2019-12-16 00:00:00 UTC</t>
  </si>
  <si>
    <t>2019-12-17 00:00:00 UTC</t>
  </si>
  <si>
    <t>2019-12-18 00:00:00 UTC</t>
  </si>
  <si>
    <t>2019-12-19 00:00:00 UTC</t>
  </si>
  <si>
    <t>2019-12-20 00:00:00 UTC</t>
  </si>
  <si>
    <t>2019-12-21 00:00:00 UTC</t>
  </si>
  <si>
    <t>2019-12-22 00:00:00 UTC</t>
  </si>
  <si>
    <t>2019-12-23 00:00:00 UTC</t>
  </si>
  <si>
    <t>2019-12-24 00:00:00 UTC</t>
  </si>
  <si>
    <t>2019-12-25 00:00:00 UTC</t>
  </si>
  <si>
    <t>2019-12-26 00:00:00 UTC</t>
  </si>
  <si>
    <t>2019-12-27 00:00:00 UTC</t>
  </si>
  <si>
    <t>2019-12-28 00:00:00 UTC</t>
  </si>
  <si>
    <t>2019-12-29 00:00:00 UTC</t>
  </si>
  <si>
    <t>2019-12-30 00:00:00 UTC</t>
  </si>
  <si>
    <t>2019-12-31 00:00:00 UTC</t>
  </si>
  <si>
    <t>2020-01-01 00:00:00 UTC</t>
  </si>
  <si>
    <t>2020-01-02 00:00:00 UTC</t>
  </si>
  <si>
    <t>2020-01-03 00:00:00 UTC</t>
  </si>
  <si>
    <t>2020-01-04 00:00:00 UTC</t>
  </si>
  <si>
    <t>2020-01-05 00:00:00 UTC</t>
  </si>
  <si>
    <t>2020-01-06 00:00:00 UTC</t>
  </si>
  <si>
    <t>2020-01-07 00:00:00 UTC</t>
  </si>
  <si>
    <t>2020-01-08 00:00:00 UTC</t>
  </si>
  <si>
    <t>2020-01-09 00:00:00 UTC</t>
  </si>
  <si>
    <t>2020-01-10 00:00:00 UTC</t>
  </si>
  <si>
    <t>2020-01-11 00:00:00 UTC</t>
  </si>
  <si>
    <t>2020-01-12 00:00:00 UTC</t>
  </si>
  <si>
    <t>2020-01-13 00:00:00 UTC</t>
  </si>
  <si>
    <t>2020-01-14 00:00:00 UTC</t>
  </si>
  <si>
    <t>2020-01-15 00:00:00 UTC</t>
  </si>
  <si>
    <t>2020-01-16 00:00:00 UTC</t>
  </si>
  <si>
    <t>2020-01-17 00:00:00 UTC</t>
  </si>
  <si>
    <t>2020-01-18 00:00:00 UTC</t>
  </si>
  <si>
    <t>2020-01-19 00:00:00 UTC</t>
  </si>
  <si>
    <t>2020-01-20 00:00:00 UTC</t>
  </si>
  <si>
    <t>2020-01-21 00:00:00 UTC</t>
  </si>
  <si>
    <t>2020-01-22 00:00:00 UTC</t>
  </si>
  <si>
    <t>2020-01-23 00:00:00 UTC</t>
  </si>
  <si>
    <t>2020-01-24 00:00:00 UTC</t>
  </si>
  <si>
    <t>2020-01-25 00:00:00 UTC</t>
  </si>
  <si>
    <t>2020-01-26 00:00:00 UTC</t>
  </si>
  <si>
    <t>2020-01-27 00:00:00 UTC</t>
  </si>
  <si>
    <t>2020-01-28 00:00:00 UTC</t>
  </si>
  <si>
    <t>2020-01-29 00:00:00 UTC</t>
  </si>
  <si>
    <t>2020-01-30 00:00:00 UTC</t>
  </si>
  <si>
    <t>2020-01-31 00:00:00 UTC</t>
  </si>
  <si>
    <t>2020-02-01 00:00:00 UTC</t>
  </si>
  <si>
    <t>2020-02-02 00:00:00 UTC</t>
  </si>
  <si>
    <t>2020-02-03 00:00:00 UTC</t>
  </si>
  <si>
    <t>2020-02-04 00:00:00 UTC</t>
  </si>
  <si>
    <t>2020-02-05 00:00:00 UTC</t>
  </si>
  <si>
    <t>2020-02-06 00:00:00 UTC</t>
  </si>
  <si>
    <t>2020-02-07 00:00:00 UTC</t>
  </si>
  <si>
    <t>2020-02-08 00:00:00 UTC</t>
  </si>
  <si>
    <t>2020-02-09 00:00:00 UTC</t>
  </si>
  <si>
    <t>2020-02-10 00:00:00 UTC</t>
  </si>
  <si>
    <t>2020-02-11 00:00:00 UTC</t>
  </si>
  <si>
    <t>2020-02-12 00:00:00 UTC</t>
  </si>
  <si>
    <t>2020-02-13 00:00:00 UTC</t>
  </si>
  <si>
    <t>2020-02-14 00:00:00 UTC</t>
  </si>
  <si>
    <t>2020-02-15 00:00:00 UTC</t>
  </si>
  <si>
    <t>2020-02-16 00:00:00 UTC</t>
  </si>
  <si>
    <t>2020-02-17 00:00:00 UTC</t>
  </si>
  <si>
    <t>2020-02-18 00:00:00 UTC</t>
  </si>
  <si>
    <t>2020-02-19 00:00:00 UTC</t>
  </si>
  <si>
    <t>2020-02-20 00:00:00 UTC</t>
  </si>
  <si>
    <t>2020-02-21 00:00:00 UTC</t>
  </si>
  <si>
    <t>2020-02-22 00:00:00 UTC</t>
  </si>
  <si>
    <t>2020-02-23 00:00:00 UTC</t>
  </si>
  <si>
    <t>2020-02-24 00:00:00 UTC</t>
  </si>
  <si>
    <t>2020-02-25 00:00:00 UTC</t>
  </si>
  <si>
    <t>2020-02-26 00:00:00 UTC</t>
  </si>
  <si>
    <t>2020-02-27 00:00:00 UTC</t>
  </si>
  <si>
    <t>2020-02-28 00:00:00 UTC</t>
  </si>
  <si>
    <t>2020-02-29 00:00:00 UTC</t>
  </si>
  <si>
    <t>2020-03-01 00:00:00 UTC</t>
  </si>
  <si>
    <t>2020-03-02 00:00:00 UTC</t>
  </si>
  <si>
    <t>2020-03-03 00:00:00 UTC</t>
  </si>
  <si>
    <t>2020-03-04 00:00:00 UTC</t>
  </si>
  <si>
    <t>2020-03-05 00:00:00 UTC</t>
  </si>
  <si>
    <t>2020-03-06 00:00:00 UTC</t>
  </si>
  <si>
    <t>2020-03-07 00:00:00 UTC</t>
  </si>
  <si>
    <t>2020-03-08 00:00:00 UTC</t>
  </si>
  <si>
    <t>2020-03-09 00:00:00 UTC</t>
  </si>
  <si>
    <t>2020-03-10 00:00:00 UTC</t>
  </si>
  <si>
    <t>2020-03-11 00:00:00 UTC</t>
  </si>
  <si>
    <t>2020-03-12 00:00:00 UTC</t>
  </si>
  <si>
    <t>2020-03-13 00:00:00 UTC</t>
  </si>
  <si>
    <t>2020-03-14 00:00:00 UTC</t>
  </si>
  <si>
    <t>2020-03-15 00:00:00 UTC</t>
  </si>
  <si>
    <t>2020-03-16 00:00:00 UTC</t>
  </si>
  <si>
    <t>2020-03-17 00:00:00 UTC</t>
  </si>
  <si>
    <t>2020-03-18 00:00:00 UTC</t>
  </si>
  <si>
    <t>2020-03-19 00:00:00 UTC</t>
  </si>
  <si>
    <t>2020-03-20 00:00:00 UTC</t>
  </si>
  <si>
    <t>2020-03-21 00:00:00 UTC</t>
  </si>
  <si>
    <t>2020-03-22 00:00:00 UTC</t>
  </si>
  <si>
    <t>2020-03-23 00:00:00 UTC</t>
  </si>
  <si>
    <t>2020-03-24 00:00:00 UTC</t>
  </si>
  <si>
    <t>2020-03-25 00:00:00 UTC</t>
  </si>
  <si>
    <t>2020-03-26 00:00:00 UTC</t>
  </si>
  <si>
    <t>2020-03-27 00:00:00 UTC</t>
  </si>
  <si>
    <t>2020-03-28 00:00:00 UTC</t>
  </si>
  <si>
    <t>2020-03-29 00:00:00 UTC</t>
  </si>
  <si>
    <t>2020-03-30 00:00:00 UTC</t>
  </si>
  <si>
    <t>2020-03-31 00:00:00 UTC</t>
  </si>
  <si>
    <t>2020-04-01 00:00:00 UTC</t>
  </si>
  <si>
    <t>2020-04-02 00:00:00 UTC</t>
  </si>
  <si>
    <t>2020-04-03 00:00:00 UTC</t>
  </si>
  <si>
    <t>2020-04-04 00:00:00 UTC</t>
  </si>
  <si>
    <t>2020-04-05 00:00:00 UTC</t>
  </si>
  <si>
    <t>2020-04-06 00:00:00 UTC</t>
  </si>
  <si>
    <t>2020-04-07 00:00:00 UTC</t>
  </si>
  <si>
    <t>2020-04-08 00:00:00 UTC</t>
  </si>
  <si>
    <t>2020-04-09 00:00:00 UTC</t>
  </si>
  <si>
    <t>2020-04-10 00:00:00 UTC</t>
  </si>
  <si>
    <t>2020-04-11 00:00:00 UTC</t>
  </si>
  <si>
    <t>2020-04-12 00:00:00 UTC</t>
  </si>
  <si>
    <t>2020-04-13 00:00:00 UTC</t>
  </si>
  <si>
    <t>2020-04-14 00:00:00 UTC</t>
  </si>
  <si>
    <t>2020-04-15 00:00:00 UTC</t>
  </si>
  <si>
    <t>2020-04-16 00:00:00 UTC</t>
  </si>
  <si>
    <t>2020-04-17 00:00:00 UTC</t>
  </si>
  <si>
    <t>2020-04-18 00:00:00 UTC</t>
  </si>
  <si>
    <t>2020-04-19 00:00:00 UTC</t>
  </si>
  <si>
    <t>2020-04-20 00:00:00 UTC</t>
  </si>
  <si>
    <t>2020-04-21 00:00:00 UTC</t>
  </si>
  <si>
    <t>2020-04-22 00:00:00 UTC</t>
  </si>
  <si>
    <t>2020-04-23 00:00:00 UTC</t>
  </si>
  <si>
    <t>2020-04-24 00:00:00 UTC</t>
  </si>
  <si>
    <t>2020-04-25 00:00:00 UTC</t>
  </si>
  <si>
    <t>2020-04-26 00:00:00 UTC</t>
  </si>
  <si>
    <t>2020-04-27 00:00:00 UTC</t>
  </si>
  <si>
    <t>2020-04-28 00:00:00 UTC</t>
  </si>
  <si>
    <t>2020-04-29 00:00:00 UTC</t>
  </si>
  <si>
    <t>2020-04-30 00:00:00 UTC</t>
  </si>
  <si>
    <t>2020-05-01 00:00:00 UTC</t>
  </si>
  <si>
    <t>2020-05-02 00:00:00 UTC</t>
  </si>
  <si>
    <t>2020-05-03 00:00:00 UTC</t>
  </si>
  <si>
    <t>2020-05-04 00:00:00 UTC</t>
  </si>
  <si>
    <t>2020-05-05 00:00:00 UTC</t>
  </si>
  <si>
    <t>2020-05-06 00:00:00 UTC</t>
  </si>
  <si>
    <t>2020-05-07 00:00:00 UTC</t>
  </si>
  <si>
    <t>2020-05-08 00:00:00 UTC</t>
  </si>
  <si>
    <t>2020-05-09 00:00:00 UTC</t>
  </si>
  <si>
    <t>2020-05-10 00:00:00 UTC</t>
  </si>
  <si>
    <t>2020-05-11 00:00:00 UTC</t>
  </si>
  <si>
    <t>2020-05-12 00:00:00 UTC</t>
  </si>
  <si>
    <t>2020-05-13 00:00:00 UTC</t>
  </si>
  <si>
    <t>2020-05-14 00:00:00 UTC</t>
  </si>
  <si>
    <t>2020-05-15 00:00:00 UTC</t>
  </si>
  <si>
    <t>2020-05-16 00:00:00 UTC</t>
  </si>
  <si>
    <t>2020-05-17 00:00:00 UTC</t>
  </si>
  <si>
    <t>2020-05-18 00:00:00 UTC</t>
  </si>
  <si>
    <t>2020-05-19 00:00:00 UTC</t>
  </si>
  <si>
    <t>2020-05-20 00:00:00 UTC</t>
  </si>
  <si>
    <t>2020-05-21 00:00:00 UTC</t>
  </si>
  <si>
    <t>2020-05-22 00:00:00 UTC</t>
  </si>
  <si>
    <t>2020-05-23 00:00:00 UTC</t>
  </si>
  <si>
    <t>2020-05-24 00:00:00 UTC</t>
  </si>
  <si>
    <t>2020-05-25 00:00:00 UTC</t>
  </si>
  <si>
    <t>2020-05-26 00:00:00 UTC</t>
  </si>
  <si>
    <t>2020-05-27 00:00:00 UTC</t>
  </si>
  <si>
    <t>2020-05-28 00:00:00 UTC</t>
  </si>
  <si>
    <t>2020-05-29 00:00:00 UTC</t>
  </si>
  <si>
    <t>2020-05-30 00:00:00 UTC</t>
  </si>
  <si>
    <t>2020-05-31 00:00:00 UTC</t>
  </si>
  <si>
    <t>2020-06-01 00:00:00 UTC</t>
  </si>
  <si>
    <t>2020-06-02 00:00:00 UTC</t>
  </si>
  <si>
    <t>2020-06-03 00:00:00 UTC</t>
  </si>
  <si>
    <t>2020-06-04 00:00:00 UTC</t>
  </si>
  <si>
    <t>2020-06-05 00:00:00 UTC</t>
  </si>
  <si>
    <t>2020-06-06 00:00:00 UTC</t>
  </si>
  <si>
    <t>2020-06-07 00:00:00 UTC</t>
  </si>
  <si>
    <t>2020-06-08 00:00:00 UTC</t>
  </si>
  <si>
    <t>2020-06-09 00:00:00 UTC</t>
  </si>
  <si>
    <t>2020-06-10 00:00:00 UTC</t>
  </si>
  <si>
    <t>2020-06-11 00:00:00 UTC</t>
  </si>
  <si>
    <t>2020-06-12 00:00:00 UTC</t>
  </si>
  <si>
    <t>2020-06-13 00:00:00 UTC</t>
  </si>
  <si>
    <t>2020-06-14 00:00:00 UTC</t>
  </si>
  <si>
    <t>2020-06-15 00:00:00 UTC</t>
  </si>
  <si>
    <t>2020-06-16 00:00:00 UTC</t>
  </si>
  <si>
    <t>2020-06-17 00:00:00 UTC</t>
  </si>
  <si>
    <t>2020-06-18 00:00:00 UTC</t>
  </si>
  <si>
    <t>2020-06-19 00:00:00 UTC</t>
  </si>
  <si>
    <t>2020-06-20 00:00:00 UTC</t>
  </si>
  <si>
    <t>2020-06-21 00:00:00 UTC</t>
  </si>
  <si>
    <t>2020-06-22 00:00:00 UTC</t>
  </si>
  <si>
    <t>2020-06-23 00:00:00 UTC</t>
  </si>
  <si>
    <t>2020-06-24 00:00:00 UTC</t>
  </si>
  <si>
    <t>2020-06-25 00:00:00 UTC</t>
  </si>
  <si>
    <t>2020-06-26 00:00:00 UTC</t>
  </si>
  <si>
    <t>2020-06-27 00:00:00 UTC</t>
  </si>
  <si>
    <t>2020-06-28 00:00:00 UTC</t>
  </si>
  <si>
    <t>2020-06-29 00:00:00 UTC</t>
  </si>
  <si>
    <t>2020-06-30 00:00:00 UTC</t>
  </si>
  <si>
    <t>2020-07-01 00:00:00 UTC</t>
  </si>
  <si>
    <t>2020-07-02 00:00:00 UTC</t>
  </si>
  <si>
    <t>2020-07-03 00:00:00 UTC</t>
  </si>
  <si>
    <t>2020-07-04 00:00:00 UTC</t>
  </si>
  <si>
    <t>2020-07-05 00:00:00 UTC</t>
  </si>
  <si>
    <t>2020-07-06 00:00:00 UTC</t>
  </si>
  <si>
    <t>2020-07-07 00:00:00 UTC</t>
  </si>
  <si>
    <t>2020-07-08 00:00:00 UTC</t>
  </si>
  <si>
    <t>2020-07-09 00:00:00 UTC</t>
  </si>
  <si>
    <t>2020-07-10 00:00:00 UTC</t>
  </si>
  <si>
    <t>2020-07-11 00:00:00 UTC</t>
  </si>
  <si>
    <t>2020-07-12 00:00:00 UTC</t>
  </si>
  <si>
    <t>2020-07-13 00:00:00 UTC</t>
  </si>
  <si>
    <t>2020-07-14 00:00:00 UTC</t>
  </si>
  <si>
    <t>2020-07-15 00:00:00 UTC</t>
  </si>
  <si>
    <t>2020-07-16 00:00:00 UTC</t>
  </si>
  <si>
    <t>2020-07-17 00:00:00 UTC</t>
  </si>
  <si>
    <t>2020-07-18 00:00:00 UTC</t>
  </si>
  <si>
    <t>2020-07-19 00:00:00 UTC</t>
  </si>
  <si>
    <t>2020-07-20 00:00:00 UTC</t>
  </si>
  <si>
    <t>2020-07-21 00:00:00 UTC</t>
  </si>
  <si>
    <t>2020-07-22 00:00:00 UTC</t>
  </si>
  <si>
    <t>2020-07-23 00:00:00 UTC</t>
  </si>
  <si>
    <t>2020-07-24 00:00:00 UTC</t>
  </si>
  <si>
    <t>2020-07-25 00:00:00 UTC</t>
  </si>
  <si>
    <t>2020-07-26 00:00:00 UTC</t>
  </si>
  <si>
    <t>2020-07-27 00:00:00 UTC</t>
  </si>
  <si>
    <t>2020-07-28 00:00:00 UTC</t>
  </si>
  <si>
    <t>2020-07-29 00:00:00 UTC</t>
  </si>
  <si>
    <t>2020-07-30 00:00:00 UTC</t>
  </si>
  <si>
    <t>2020-07-31 00:00:00 UTC</t>
  </si>
  <si>
    <t>2020-08-01 00:00:00 UTC</t>
  </si>
  <si>
    <t>2020-08-02 00:00:00 UTC</t>
  </si>
  <si>
    <t>2020-08-03 00:00:00 UTC</t>
  </si>
  <si>
    <t>2020-08-04 00:00:00 UTC</t>
  </si>
  <si>
    <t>2020-08-05 00:00:00 UTC</t>
  </si>
  <si>
    <t>2020-08-06 00:00:00 UTC</t>
  </si>
  <si>
    <t>2020-08-07 00:00:00 UTC</t>
  </si>
  <si>
    <t>2020-08-08 00:00:00 UTC</t>
  </si>
  <si>
    <t>2020-08-09 00:00:00 UTC</t>
  </si>
  <si>
    <t>2020-08-10 00:00:00 UTC</t>
  </si>
  <si>
    <t>2020-08-11 00:00:00 UTC</t>
  </si>
  <si>
    <t>2020-08-12 00:00:00 UTC</t>
  </si>
  <si>
    <t>2020-08-13 00:00:00 UTC</t>
  </si>
  <si>
    <t>2020-08-14 00:00:00 UTC</t>
  </si>
  <si>
    <t>2020-08-15 00:00:00 UTC</t>
  </si>
  <si>
    <t>2020-08-16 00:00:00 UTC</t>
  </si>
  <si>
    <t>2020-08-17 00:00:00 UTC</t>
  </si>
  <si>
    <t>2020-08-18 00:00:00 UTC</t>
  </si>
  <si>
    <t>2020-08-19 00:00:00 UTC</t>
  </si>
  <si>
    <t>2020-08-20 00:00:00 UTC</t>
  </si>
  <si>
    <t>2020-08-21 00:00:00 UTC</t>
  </si>
  <si>
    <t>2020-08-22 00:00:00 UTC</t>
  </si>
  <si>
    <t>2020-08-23 00:00:00 UTC</t>
  </si>
  <si>
    <t>2020-08-24 00:00:00 UTC</t>
  </si>
  <si>
    <t>2020-08-25 00:00:00 UTC</t>
  </si>
  <si>
    <t>2020-08-26 00:00:00 UTC</t>
  </si>
  <si>
    <t>2020-08-27 00:00:00 UTC</t>
  </si>
  <si>
    <t>2020-08-28 00:00:00 UTC</t>
  </si>
  <si>
    <t>2020-08-29 00:00:00 UTC</t>
  </si>
  <si>
    <t>2020-08-30 00:00:00 UTC</t>
  </si>
  <si>
    <t>2020-08-31 00:00:00 UTC</t>
  </si>
  <si>
    <t>2020-09-01 00:00:00 UTC</t>
  </si>
  <si>
    <t>2020-09-02 00:00:00 UTC</t>
  </si>
  <si>
    <t>2020-09-03 00:00:00 UTC</t>
  </si>
  <si>
    <t>2020-09-04 00:00:00 UTC</t>
  </si>
  <si>
    <t>2020-09-05 00:00:00 UTC</t>
  </si>
  <si>
    <t>2020-09-06 00:00:00 UTC</t>
  </si>
  <si>
    <t>2020-09-07 00:00:00 UTC</t>
  </si>
  <si>
    <t>2020-09-08 00:00:00 UTC</t>
  </si>
  <si>
    <t>2020-09-09 00:00:00 UTC</t>
  </si>
  <si>
    <t>2020-09-10 00:00:00 UTC</t>
  </si>
  <si>
    <t>2020-09-11 00:00:00 UTC</t>
  </si>
  <si>
    <t>2020-09-12 00:00:00 UTC</t>
  </si>
  <si>
    <t>2020-09-13 00:00:00 UTC</t>
  </si>
  <si>
    <t>2020-09-14 00:00:00 UTC</t>
  </si>
  <si>
    <t>2020-09-15 00:00:00 UTC</t>
  </si>
  <si>
    <t>2020-09-16 00:00:00 UTC</t>
  </si>
  <si>
    <t>2020-09-17 00:00:00 UTC</t>
  </si>
  <si>
    <t>2020-09-18 00:00:00 UTC</t>
  </si>
  <si>
    <t>2020-09-19 00:00:00 UTC</t>
  </si>
  <si>
    <t>2020-09-20 00:00:00 UTC</t>
  </si>
  <si>
    <t>2020-09-21 00:00:00 UTC</t>
  </si>
  <si>
    <t>2020-09-22 00:00:00 UTC</t>
  </si>
  <si>
    <t>2020-09-23 00:00:00 UTC</t>
  </si>
  <si>
    <t>2020-09-24 00:00:00 UTC</t>
  </si>
  <si>
    <t>2020-09-25 00:00:00 UTC</t>
  </si>
  <si>
    <t>2020-09-26 00:00:00 UTC</t>
  </si>
  <si>
    <t>2020-09-27 00:00:00 UTC</t>
  </si>
  <si>
    <t>2020-09-28 00:00:00 UTC</t>
  </si>
  <si>
    <t>2020-09-29 00:00:00 UTC</t>
  </si>
  <si>
    <t>2020-09-30 00:00:00 UTC</t>
  </si>
  <si>
    <t>2020-10-01 00:00:00 UTC</t>
  </si>
  <si>
    <t>2020-10-02 00:00:00 UTC</t>
  </si>
  <si>
    <t>2020-10-03 00:00:00 UTC</t>
  </si>
  <si>
    <t>2020-10-04 00:00:00 UTC</t>
  </si>
  <si>
    <t>2020-10-05 00:00:00 UTC</t>
  </si>
  <si>
    <t>2020-10-06 00:00:00 UTC</t>
  </si>
  <si>
    <t>2020-10-07 00:00:00 UTC</t>
  </si>
  <si>
    <t>2020-10-08 00:00:00 UTC</t>
  </si>
  <si>
    <t>2020-10-09 00:00:00 UTC</t>
  </si>
  <si>
    <t>2020-10-10 00:00:00 UTC</t>
  </si>
  <si>
    <t>2020-10-11 00:00:00 UTC</t>
  </si>
  <si>
    <t>2020-10-12 00:00:00 UTC</t>
  </si>
  <si>
    <t>2020-10-13 00:00:00 UTC</t>
  </si>
  <si>
    <t>2020-10-14 00:00:00 UTC</t>
  </si>
  <si>
    <t>2020-10-15 00:00:00 UTC</t>
  </si>
  <si>
    <t>2020-10-16 00:00:00 UTC</t>
  </si>
  <si>
    <t>2020-10-17 00:00:00 UTC</t>
  </si>
  <si>
    <t>2020-10-18 00:00:00 UTC</t>
  </si>
  <si>
    <t>2020-10-19 00:00:00 UTC</t>
  </si>
  <si>
    <t>2020-10-20 00:00:00 UTC</t>
  </si>
  <si>
    <t>2020-10-21 00:00:00 UTC</t>
  </si>
  <si>
    <t>2020-10-22 00:00:00 UTC</t>
  </si>
  <si>
    <t>2020-10-23 00:00:00 UTC</t>
  </si>
  <si>
    <t>2020-10-24 00:00:00 UTC</t>
  </si>
  <si>
    <t>2020-10-25 00:00:00 UTC</t>
  </si>
  <si>
    <t>2020-10-26 00:00:00 UTC</t>
  </si>
  <si>
    <t>2020-10-27 00:00:00 UTC</t>
  </si>
  <si>
    <t>2020-10-28 00:00:00 UTC</t>
  </si>
  <si>
    <t>2020-10-29 00:00:00 UTC</t>
  </si>
  <si>
    <t>2020-10-30 00:00:00 UTC</t>
  </si>
  <si>
    <t>2020-10-31 00:00:00 UTC</t>
  </si>
  <si>
    <t>2020-11-01 00:00:00 UTC</t>
  </si>
  <si>
    <t>2020-11-02 00:00:00 UTC</t>
  </si>
  <si>
    <t>2020-11-03 00:00:00 UTC</t>
  </si>
  <si>
    <t>2020-11-04 00:00:00 UTC</t>
  </si>
  <si>
    <t>2020-11-05 00:00:00 UTC</t>
  </si>
  <si>
    <t>2020-11-06 00:00:00 UTC</t>
  </si>
  <si>
    <t>2020-11-07 00:00:00 UTC</t>
  </si>
  <si>
    <t>2020-11-08 00:00:00 UTC</t>
  </si>
  <si>
    <t>2020-11-09 00:00:00 UTC</t>
  </si>
  <si>
    <t>2020-11-10 00:00:00 UTC</t>
  </si>
  <si>
    <t>2020-11-11 00:00:00 UTC</t>
  </si>
  <si>
    <t>2020-11-12 00:00:00 UTC</t>
  </si>
  <si>
    <t>2020-11-13 00:00:00 UTC</t>
  </si>
  <si>
    <t>2020-11-14 00:00:00 UTC</t>
  </si>
  <si>
    <t>2020-11-15 00:00:00 UTC</t>
  </si>
  <si>
    <t>2020-11-16 00:00:00 UTC</t>
  </si>
  <si>
    <t>2020-11-17 00:00:00 UTC</t>
  </si>
  <si>
    <t>2020-11-18 00:00:00 UTC</t>
  </si>
  <si>
    <t>2020-11-19 00:00:00 UTC</t>
  </si>
  <si>
    <t>2020-11-20 00:00:00 UTC</t>
  </si>
  <si>
    <t>2020-11-21 00:00:00 UTC</t>
  </si>
  <si>
    <t>2020-11-22 00:00:00 UTC</t>
  </si>
  <si>
    <t>2020-11-23 00:00:00 UTC</t>
  </si>
  <si>
    <t>2020-11-24 00:00:00 UTC</t>
  </si>
  <si>
    <t>2020-11-25 00:00:00 UTC</t>
  </si>
  <si>
    <t>2020-11-26 00:00:00 UTC</t>
  </si>
  <si>
    <t>2020-11-27 00:00:00 UTC</t>
  </si>
  <si>
    <t>2020-11-28 00:00:00 UTC</t>
  </si>
  <si>
    <t>2020-11-29 00:00:00 UTC</t>
  </si>
  <si>
    <t>2020-11-30 00:00:00 UTC</t>
  </si>
  <si>
    <t>2020-12-01 00:00:00 UTC</t>
  </si>
  <si>
    <t>2020-12-02 00:00:00 UTC</t>
  </si>
  <si>
    <t>2020-12-03 00:00:00 UTC</t>
  </si>
  <si>
    <t>Annual Return Standard Deviation</t>
  </si>
  <si>
    <t>&lt;--Calculated Income</t>
  </si>
  <si>
    <t>&lt;-- if 0 to 2 = goal more attainable</t>
  </si>
  <si>
    <t>&lt;--Value of your current holdings (ADA)</t>
  </si>
  <si>
    <t>&lt;--Annual Additional Purchases (ADA)</t>
  </si>
  <si>
    <t>&lt;--Calculated Target Price</t>
  </si>
  <si>
    <t>&lt;--Annual price growth</t>
  </si>
  <si>
    <t>&lt;--How many x the price would have to grow</t>
  </si>
  <si>
    <t>now</t>
  </si>
  <si>
    <t>future</t>
  </si>
  <si>
    <t>Return</t>
  </si>
  <si>
    <t>Mean</t>
  </si>
  <si>
    <t>Returns: x St. Dev</t>
  </si>
  <si>
    <t>current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</si>
</sst>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0\ \x"/>
    <numFmt numFmtId="166" formatCode="0.00\ \x"/>
    <numFmt numFmtId="167" formatCode="&quot;$&quot;#,##0.000_);[Red]\(&quot;$&quot;#,##0.000\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4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0" fillId="3" borderId="0" xfId="0" applyFill="1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6" fontId="0" fillId="3" borderId="0" xfId="0" applyNumberFormat="1" applyFill="1"/>
    <xf numFmtId="9" fontId="0" fillId="0" borderId="0" xfId="0" applyNumberFormat="1"/>
    <xf numFmtId="8" fontId="4" fillId="3" borderId="1" xfId="0" applyNumberFormat="1" applyFont="1" applyFill="1" applyBorder="1" applyAlignment="1">
      <alignment horizontal="center"/>
    </xf>
    <xf numFmtId="0" fontId="5" fillId="3" borderId="0" xfId="0" applyFont="1" applyFill="1"/>
    <xf numFmtId="0" fontId="6" fillId="3" borderId="0" xfId="0" applyFont="1" applyFill="1"/>
    <xf numFmtId="0" fontId="8" fillId="3" borderId="0" xfId="0" applyFont="1" applyFill="1"/>
    <xf numFmtId="0" fontId="6" fillId="4" borderId="0" xfId="0" applyFont="1" applyFill="1"/>
    <xf numFmtId="0" fontId="9" fillId="3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center"/>
    </xf>
    <xf numFmtId="0" fontId="10" fillId="3" borderId="0" xfId="0" applyFont="1" applyFill="1"/>
    <xf numFmtId="0" fontId="8" fillId="3" borderId="0" xfId="0" applyFont="1" applyFill="1" applyAlignment="1">
      <alignment horizontal="center"/>
    </xf>
    <xf numFmtId="3" fontId="6" fillId="3" borderId="4" xfId="0" applyNumberFormat="1" applyFont="1" applyFill="1" applyBorder="1" applyAlignment="1">
      <alignment horizontal="center"/>
    </xf>
    <xf numFmtId="6" fontId="6" fillId="3" borderId="5" xfId="1" applyNumberFormat="1" applyFont="1" applyFill="1" applyBorder="1" applyAlignment="1">
      <alignment horizontal="center"/>
    </xf>
    <xf numFmtId="3" fontId="6" fillId="3" borderId="6" xfId="0" applyNumberFormat="1" applyFont="1" applyFill="1" applyBorder="1" applyAlignment="1">
      <alignment horizontal="center"/>
    </xf>
    <xf numFmtId="6" fontId="6" fillId="3" borderId="7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6" fontId="6" fillId="3" borderId="1" xfId="0" applyNumberFormat="1" applyFont="1" applyFill="1" applyBorder="1" applyAlignment="1">
      <alignment horizontal="center"/>
    </xf>
    <xf numFmtId="165" fontId="6" fillId="3" borderId="2" xfId="0" applyNumberFormat="1" applyFont="1" applyFill="1" applyBorder="1" applyAlignment="1">
      <alignment horizontal="center"/>
    </xf>
    <xf numFmtId="9" fontId="3" fillId="3" borderId="3" xfId="0" applyNumberFormat="1" applyFont="1" applyFill="1" applyBorder="1" applyAlignment="1">
      <alignment horizontal="center"/>
    </xf>
    <xf numFmtId="9" fontId="6" fillId="3" borderId="2" xfId="0" applyNumberFormat="1" applyFont="1" applyFill="1" applyBorder="1" applyAlignment="1">
      <alignment horizontal="center"/>
    </xf>
    <xf numFmtId="166" fontId="6" fillId="3" borderId="3" xfId="0" applyNumberFormat="1" applyFont="1" applyFill="1" applyBorder="1" applyAlignment="1">
      <alignment horizontal="center"/>
    </xf>
    <xf numFmtId="0" fontId="12" fillId="3" borderId="0" xfId="0" applyFont="1" applyFill="1"/>
    <xf numFmtId="0" fontId="11" fillId="3" borderId="0" xfId="0" applyFont="1" applyFill="1" applyAlignment="1">
      <alignment horizontal="left"/>
    </xf>
    <xf numFmtId="6" fontId="13" fillId="2" borderId="8" xfId="0" applyNumberFormat="1" applyFont="1" applyFill="1" applyBorder="1" applyAlignment="1">
      <alignment horizontal="center"/>
    </xf>
    <xf numFmtId="6" fontId="8" fillId="3" borderId="0" xfId="0" applyNumberFormat="1" applyFont="1" applyFill="1"/>
    <xf numFmtId="8" fontId="13" fillId="2" borderId="9" xfId="0" applyNumberFormat="1" applyFont="1" applyFill="1" applyBorder="1" applyAlignment="1">
      <alignment horizontal="center"/>
    </xf>
    <xf numFmtId="8" fontId="8" fillId="3" borderId="0" xfId="0" applyNumberFormat="1" applyFont="1" applyFill="1"/>
    <xf numFmtId="0" fontId="5" fillId="3" borderId="0" xfId="0" applyFont="1" applyFill="1" applyAlignment="1">
      <alignment horizontal="center"/>
    </xf>
    <xf numFmtId="3" fontId="13" fillId="2" borderId="8" xfId="0" applyNumberFormat="1" applyFont="1" applyFill="1" applyBorder="1" applyAlignment="1">
      <alignment horizontal="center"/>
    </xf>
    <xf numFmtId="6" fontId="5" fillId="3" borderId="0" xfId="0" applyNumberFormat="1" applyFont="1" applyFill="1" applyAlignment="1">
      <alignment horizontal="left"/>
    </xf>
    <xf numFmtId="3" fontId="13" fillId="2" borderId="9" xfId="0" applyNumberFormat="1" applyFont="1" applyFill="1" applyBorder="1" applyAlignment="1">
      <alignment horizontal="center"/>
    </xf>
    <xf numFmtId="6" fontId="8" fillId="3" borderId="0" xfId="0" applyNumberFormat="1" applyFont="1" applyFill="1" applyAlignment="1">
      <alignment horizontal="center"/>
    </xf>
    <xf numFmtId="6" fontId="5" fillId="3" borderId="0" xfId="0" applyNumberFormat="1" applyFont="1" applyFill="1" applyAlignment="1">
      <alignment horizontal="center"/>
    </xf>
    <xf numFmtId="0" fontId="13" fillId="2" borderId="8" xfId="0" applyFont="1" applyFill="1" applyBorder="1" applyAlignment="1">
      <alignment horizontal="center"/>
    </xf>
    <xf numFmtId="0" fontId="5" fillId="3" borderId="0" xfId="0" applyFont="1" applyFill="1" applyAlignment="1">
      <alignment horizontal="left"/>
    </xf>
    <xf numFmtId="164" fontId="13" fillId="2" borderId="9" xfId="0" applyNumberFormat="1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8" fontId="0" fillId="0" borderId="0" xfId="0" applyNumberFormat="1"/>
    <xf numFmtId="167" fontId="0" fillId="0" borderId="0" xfId="0" applyNumberFormat="1"/>
  </cellXfs>
  <cellStyles count="2">
    <cellStyle name="Currency" xfId="1" builtinId="4"/>
    <cellStyle name="Normal" xfId="0" builtinId="0"/>
  </cellStyles>
  <dxfs count="8">
    <dxf>
      <fill>
        <patternFill>
          <bgColor rgb="FF00FF00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00CC00"/>
        </patternFill>
      </fill>
    </dxf>
    <dxf>
      <fill>
        <patternFill>
          <bgColor rgb="FF00FF00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00CC00"/>
        </patternFill>
      </fill>
    </dxf>
  </dxfs>
  <tableStyles count="0" defaultTableStyle="TableStyleMedium2" defaultPivotStyle="PivotStyleLight16"/>
  <colors>
    <mruColors>
      <color rgb="FF00FF00"/>
      <color rgb="FF33CC33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Portfolio: Now vs. Target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Investment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Calculator!$L$26:$L$27</c:f>
              <c:strCache>
                <c:ptCount val="2"/>
                <c:pt idx="0">
                  <c:v>now</c:v>
                </c:pt>
                <c:pt idx="1">
                  <c:v>future</c:v>
                </c:pt>
              </c:strCache>
            </c:strRef>
          </c:cat>
          <c:val>
            <c:numRef>
              <c:f>Calculator!$K$23:$K$24</c:f>
              <c:numCache>
                <c:formatCode>"$"#,##0_);[Red]\("$"#,##0\)</c:formatCode>
                <c:ptCount val="2"/>
                <c:pt idx="0">
                  <c:v>34000</c:v>
                </c:pt>
                <c:pt idx="1">
                  <c:v>1399999.9999999998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4-4713-AF25-13D4845F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2213919"/>
        <c:axId val="2071030575"/>
      </c:barChart>
      <c:lineChart>
        <c:grouping val="standard"/>
        <c:varyColors val="0"/>
        <c:ser>
          <c:idx val="1"/>
          <c:order val="1"/>
          <c:tx>
            <c:v>Price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Calculator!$K$26:$K$27</c:f>
              <c:numCache>
                <c:formatCode>"$"#,##0.00_);[Red]\("$"#,##0.00\)</c:formatCode>
                <c:ptCount val="2"/>
                <c:pt idx="0">
                  <c:v>0.17</c:v>
                </c:pt>
                <c:pt idx="1">
                  <c:v>5.3537284894837471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44-4713-AF25-13D4845F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210319"/>
        <c:axId val="2071025999"/>
      </c:lineChart>
      <c:catAx>
        <c:axId val="112221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030575"/>
        <c:crosses val="autoZero"/>
        <c:auto val="1"/>
        <c:lblAlgn val="ctr"/>
        <c:lblOffset val="100"/>
        <c:noMultiLvlLbl val="0"/>
      </c:catAx>
      <c:valAx>
        <c:axId val="20710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213919"/>
        <c:crosses val="autoZero"/>
        <c:crossBetween val="between"/>
      </c:valAx>
      <c:valAx>
        <c:axId val="2071025999"/>
        <c:scaling>
          <c:orientation val="minMax"/>
        </c:scaling>
        <c:delete val="0"/>
        <c:axPos val="r"/>
        <c:numFmt formatCode="&quot;$&quot;#,##0.00_);[Red]\(&quot;$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210319"/>
        <c:crosses val="max"/>
        <c:crossBetween val="between"/>
      </c:valAx>
      <c:catAx>
        <c:axId val="1122210319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1025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676274</xdr:colOff>
      <xdr:row>18</xdr:row>
      <xdr:rowOff>104775</xdr:rowOff>
    </xdr:from>
    <xdr:to>
      <xdr:col>20</xdr:col>
      <xdr:colOff>314325</xdr:colOff>
      <xdr:row>37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5D38A44-6CA7-4654-9C7F-AC912C8E4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36420</xdr:colOff>
      <xdr:row>13</xdr:row>
      <xdr:rowOff>21852</xdr:rowOff>
    </xdr:from>
    <xdr:to>
      <xdr:col>3</xdr:col>
      <xdr:colOff>1725707</xdr:colOff>
      <xdr:row>19</xdr:row>
      <xdr:rowOff>88527</xdr:rowOff>
    </xdr:to>
    <xdr:sp macro="[0]!run_goal_see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DF1442-627C-40E3-8A66-E30642278BB4}"/>
            </a:ext>
          </a:extLst>
        </xdr:cNvPr>
        <xdr:cNvSpPr/>
      </xdr:nvSpPr>
      <xdr:spPr>
        <a:xfrm>
          <a:off x="36420" y="3092264"/>
          <a:ext cx="5880287" cy="12096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Calculate Target</a:t>
          </a:r>
          <a:r>
            <a:rPr lang="en-US" sz="2400" b="1" baseline="0"/>
            <a:t> Price</a:t>
          </a:r>
          <a:r>
            <a:rPr lang="en-US" sz="2400" b="1"/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45C1B-E9CD-49CD-886D-50D9B1A6535E}">
  <sheetPr codeName="Sheet1"/>
  <dimension ref="A1:L36"/>
  <sheetViews>
    <sheetView zoomScaleNormal="100" workbookViewId="0">
      <selection activeCell="F14" sqref="F14"/>
    </sheetView>
  </sheetViews>
  <sheetFormatPr defaultRowHeight="15" x14ac:dyDescent="0.25"/>
  <cols>
    <col min="1" max="1" width="4.42578125" style="3" customWidth="1"/>
    <col min="2" max="2" width="43.85546875" style="1" bestFit="1" customWidth="1"/>
    <col min="3" max="3" width="14.5703125" style="1" bestFit="1" customWidth="1"/>
    <col min="4" max="4" width="26" style="1" bestFit="1" customWidth="1"/>
    <col min="5" max="5" width="9.140625" style="1"/>
    <col min="6" max="6" width="21.85546875" style="1" customWidth="1"/>
    <col min="7" max="8" width="9.140625" style="1"/>
    <col min="9" max="9" width="16.85546875" style="1" bestFit="1" customWidth="1"/>
    <col min="10" max="10" width="16.42578125" style="1" bestFit="1" customWidth="1"/>
    <col min="11" max="16384" width="9.140625" style="1"/>
  </cols>
  <sheetData>
    <row r="1" spans="1:5" s="11" customFormat="1" ht="21" x14ac:dyDescent="0.35">
      <c r="A1" s="44"/>
      <c r="B1" s="10" t="s">
        <v>19</v>
      </c>
      <c r="C1" s="10"/>
      <c r="D1" s="10"/>
    </row>
    <row r="2" spans="1:5" ht="15.75" thickBot="1" x14ac:dyDescent="0.3">
      <c r="C2" s="2" t="s">
        <v>1</v>
      </c>
    </row>
    <row r="3" spans="1:5" s="9" customFormat="1" ht="18.75" x14ac:dyDescent="0.3">
      <c r="A3" s="41">
        <v>1</v>
      </c>
      <c r="B3" s="9" t="s">
        <v>7</v>
      </c>
      <c r="C3" s="28">
        <v>70000</v>
      </c>
      <c r="D3" s="7" t="s">
        <v>23</v>
      </c>
    </row>
    <row r="4" spans="1:5" s="9" customFormat="1" ht="19.5" thickBot="1" x14ac:dyDescent="0.35">
      <c r="A4" s="42">
        <v>2</v>
      </c>
      <c r="B4" s="9" t="s">
        <v>5</v>
      </c>
      <c r="C4" s="30">
        <v>0.17</v>
      </c>
      <c r="D4" s="7" t="s">
        <v>24</v>
      </c>
    </row>
    <row r="5" spans="1:5" s="9" customFormat="1" ht="18.75" x14ac:dyDescent="0.3">
      <c r="A5" s="15"/>
    </row>
    <row r="6" spans="1:5" s="9" customFormat="1" ht="19.5" thickBot="1" x14ac:dyDescent="0.35">
      <c r="A6" s="15"/>
      <c r="C6" s="32" t="s">
        <v>0</v>
      </c>
      <c r="D6" s="32"/>
    </row>
    <row r="7" spans="1:5" s="9" customFormat="1" ht="18.75" x14ac:dyDescent="0.3">
      <c r="A7" s="41">
        <v>3</v>
      </c>
      <c r="B7" s="9" t="s">
        <v>16</v>
      </c>
      <c r="C7" s="33">
        <v>200000</v>
      </c>
      <c r="D7" s="34" t="s">
        <v>1177</v>
      </c>
    </row>
    <row r="8" spans="1:5" s="9" customFormat="1" ht="19.5" thickBot="1" x14ac:dyDescent="0.35">
      <c r="A8" s="42">
        <v>4</v>
      </c>
      <c r="B8" s="9" t="s">
        <v>17</v>
      </c>
      <c r="C8" s="35">
        <v>20000</v>
      </c>
      <c r="D8" s="34" t="s">
        <v>1178</v>
      </c>
    </row>
    <row r="9" spans="1:5" s="9" customFormat="1" ht="18.75" x14ac:dyDescent="0.3">
      <c r="A9" s="15"/>
      <c r="B9" s="7" t="s">
        <v>8</v>
      </c>
      <c r="C9" s="36"/>
      <c r="D9" s="37"/>
    </row>
    <row r="10" spans="1:5" s="9" customFormat="1" ht="19.5" thickBot="1" x14ac:dyDescent="0.35">
      <c r="A10" s="15"/>
      <c r="B10" s="7"/>
      <c r="C10" s="36"/>
      <c r="D10" s="36"/>
    </row>
    <row r="11" spans="1:5" s="9" customFormat="1" ht="18.75" x14ac:dyDescent="0.3">
      <c r="A11" s="41">
        <v>5</v>
      </c>
      <c r="B11" s="9" t="s">
        <v>20</v>
      </c>
      <c r="C11" s="38">
        <v>2</v>
      </c>
      <c r="D11" s="39" t="s">
        <v>21</v>
      </c>
      <c r="E11" s="29"/>
    </row>
    <row r="12" spans="1:5" s="9" customFormat="1" ht="19.5" thickBot="1" x14ac:dyDescent="0.35">
      <c r="A12" s="42">
        <v>6</v>
      </c>
      <c r="B12" s="9" t="s">
        <v>18</v>
      </c>
      <c r="C12" s="40">
        <v>0.05</v>
      </c>
      <c r="D12" s="39" t="s">
        <v>22</v>
      </c>
      <c r="E12" s="29"/>
    </row>
    <row r="13" spans="1:5" x14ac:dyDescent="0.25">
      <c r="D13" s="3"/>
      <c r="E13" s="4"/>
    </row>
    <row r="23" spans="1:12" s="14" customFormat="1" ht="24" thickBot="1" x14ac:dyDescent="0.4">
      <c r="A23" s="43"/>
      <c r="B23" s="12" t="s">
        <v>15</v>
      </c>
      <c r="C23" s="13" t="s">
        <v>0</v>
      </c>
      <c r="D23" s="13" t="s">
        <v>1</v>
      </c>
      <c r="J23" s="1" t="s">
        <v>10</v>
      </c>
      <c r="K23" s="4">
        <f>C7*ex.rate</f>
        <v>34000</v>
      </c>
    </row>
    <row r="24" spans="1:12" s="11" customFormat="1" ht="21" x14ac:dyDescent="0.35">
      <c r="A24" s="20"/>
      <c r="B24" s="11" t="s">
        <v>2</v>
      </c>
      <c r="C24" s="16">
        <f>SUM(FV(C12,C11,,-C7)-C7)</f>
        <v>20500</v>
      </c>
      <c r="D24" s="17">
        <f>C24*ex.rate2</f>
        <v>109751.43403441682</v>
      </c>
      <c r="J24" s="9" t="s">
        <v>13</v>
      </c>
      <c r="K24" s="29">
        <f>D25</f>
        <v>1399999.9999999998</v>
      </c>
    </row>
    <row r="25" spans="1:12" s="11" customFormat="1" ht="21.75" thickBot="1" x14ac:dyDescent="0.4">
      <c r="A25" s="20"/>
      <c r="B25" s="11" t="s">
        <v>9</v>
      </c>
      <c r="C25" s="18">
        <f>FV(ROS,time_horizon,-purchases,-C7)</f>
        <v>261500</v>
      </c>
      <c r="D25" s="19">
        <f>C25*ex.rate2</f>
        <v>1399999.9999999998</v>
      </c>
      <c r="J25" s="9"/>
      <c r="K25" s="9"/>
    </row>
    <row r="26" spans="1:12" s="11" customFormat="1" ht="21.75" thickBot="1" x14ac:dyDescent="0.4">
      <c r="A26" s="20"/>
      <c r="D26" s="20"/>
      <c r="J26" s="9" t="s">
        <v>11</v>
      </c>
      <c r="K26" s="31">
        <f>ex.rate</f>
        <v>0.17</v>
      </c>
      <c r="L26" s="11" t="s">
        <v>1182</v>
      </c>
    </row>
    <row r="27" spans="1:12" s="11" customFormat="1" ht="21.75" thickBot="1" x14ac:dyDescent="0.4">
      <c r="A27" s="20"/>
      <c r="B27" s="11" t="s">
        <v>3</v>
      </c>
      <c r="D27" s="21">
        <f>D25 * C12</f>
        <v>69999.999999999985</v>
      </c>
      <c r="E27" s="8" t="s">
        <v>1175</v>
      </c>
      <c r="J27" s="9" t="s">
        <v>12</v>
      </c>
      <c r="K27" s="31">
        <f>ex.rate2</f>
        <v>5.3537284894837471</v>
      </c>
      <c r="L27" s="11" t="s">
        <v>1183</v>
      </c>
    </row>
    <row r="28" spans="1:12" s="11" customFormat="1" ht="21.75" thickBot="1" x14ac:dyDescent="0.4">
      <c r="A28" s="20"/>
    </row>
    <row r="29" spans="1:12" s="11" customFormat="1" ht="21" x14ac:dyDescent="0.35">
      <c r="A29" s="20"/>
      <c r="B29" s="11" t="s">
        <v>4</v>
      </c>
      <c r="D29" s="22">
        <f>POWER(D30+1,C11)</f>
        <v>31.492520526374985</v>
      </c>
      <c r="E29" s="8" t="s">
        <v>1181</v>
      </c>
    </row>
    <row r="30" spans="1:12" s="11" customFormat="1" ht="21.75" thickBot="1" x14ac:dyDescent="0.4">
      <c r="A30" s="20"/>
      <c r="B30" s="11" t="s">
        <v>14</v>
      </c>
      <c r="D30" s="23">
        <f>POWER(ex.rate2/ex.rate,1/time_horizon)-1</f>
        <v>4.6118197161326364</v>
      </c>
      <c r="E30" s="8" t="s">
        <v>1180</v>
      </c>
    </row>
    <row r="31" spans="1:12" s="11" customFormat="1" ht="21.75" thickBot="1" x14ac:dyDescent="0.4">
      <c r="A31" s="20"/>
    </row>
    <row r="32" spans="1:12" s="11" customFormat="1" ht="34.5" thickBot="1" x14ac:dyDescent="0.55000000000000004">
      <c r="A32" s="20"/>
      <c r="B32" s="27" t="s">
        <v>6</v>
      </c>
      <c r="C32" s="26"/>
      <c r="D32" s="6">
        <v>5.3537284894837471</v>
      </c>
      <c r="E32" s="8" t="s">
        <v>1179</v>
      </c>
    </row>
    <row r="33" spans="1:5" s="11" customFormat="1" ht="21" x14ac:dyDescent="0.35">
      <c r="A33" s="20"/>
    </row>
    <row r="34" spans="1:5" s="11" customFormat="1" ht="21.75" thickBot="1" x14ac:dyDescent="0.4">
      <c r="A34" s="20"/>
    </row>
    <row r="35" spans="1:5" s="11" customFormat="1" ht="21" x14ac:dyDescent="0.35">
      <c r="A35" s="20"/>
      <c r="B35" s="11" t="s">
        <v>1174</v>
      </c>
      <c r="D35" s="24">
        <f>ada_usd!I3</f>
        <v>1.5603012620583789</v>
      </c>
    </row>
    <row r="36" spans="1:5" s="11" customFormat="1" ht="21.75" thickBot="1" x14ac:dyDescent="0.4">
      <c r="A36" s="20"/>
      <c r="B36" s="11" t="s">
        <v>1186</v>
      </c>
      <c r="D36" s="25">
        <f>D30/D35</f>
        <v>2.9557238901727456</v>
      </c>
      <c r="E36" s="8" t="s">
        <v>1176</v>
      </c>
    </row>
  </sheetData>
  <conditionalFormatting sqref="D27">
    <cfRule type="cellIs" dxfId="3" priority="5" operator="greaterThanOrEqual">
      <formula>$C$3</formula>
    </cfRule>
  </conditionalFormatting>
  <conditionalFormatting sqref="D36">
    <cfRule type="cellIs" dxfId="1" priority="3" operator="between">
      <formula>0</formula>
      <formula>2</formula>
    </cfRule>
  </conditionalFormatting>
  <conditionalFormatting sqref="D32">
    <cfRule type="cellIs" dxfId="0" priority="2" operator="between">
      <formula>0</formula>
      <formula>1.33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2D49-2771-4CDD-88EB-5FEC50D1CA9D}">
  <dimension ref="A1:I1144"/>
  <sheetViews>
    <sheetView tabSelected="1" workbookViewId="0">
      <selection activeCell="I7" sqref="I7"/>
    </sheetView>
  </sheetViews>
  <sheetFormatPr defaultRowHeight="15" x14ac:dyDescent="0.25"/>
  <cols>
    <col min="1" max="1" width="22.28515625" bestFit="1" customWidth="1"/>
    <col min="2" max="2" width="12" bestFit="1" customWidth="1"/>
    <col min="3" max="3" width="12" customWidth="1"/>
    <col min="4" max="4" width="12" bestFit="1" customWidth="1"/>
    <col min="5" max="5" width="12.85546875" bestFit="1" customWidth="1"/>
    <col min="8" max="8" width="12.85546875" bestFit="1" customWidth="1"/>
  </cols>
  <sheetData>
    <row r="1" spans="1:9" x14ac:dyDescent="0.25">
      <c r="A1" t="s">
        <v>25</v>
      </c>
      <c r="B1" t="s">
        <v>26</v>
      </c>
      <c r="D1" t="s">
        <v>27</v>
      </c>
      <c r="E1" t="s">
        <v>28</v>
      </c>
    </row>
    <row r="2" spans="1:9" x14ac:dyDescent="0.25">
      <c r="A2" t="s">
        <v>29</v>
      </c>
      <c r="B2">
        <v>2.6845354676218999E-2</v>
      </c>
      <c r="D2">
        <v>696021404.30796003</v>
      </c>
      <c r="E2">
        <v>2351678.1223062002</v>
      </c>
      <c r="H2" t="s">
        <v>30</v>
      </c>
      <c r="I2" s="5">
        <f>_xlfn.STDEV.S(C2:C1144)</f>
        <v>8.1669900700905768E-2</v>
      </c>
    </row>
    <row r="3" spans="1:9" x14ac:dyDescent="0.25">
      <c r="A3" t="s">
        <v>31</v>
      </c>
      <c r="B3">
        <v>2.68299504657286E-2</v>
      </c>
      <c r="C3" s="5">
        <f>B3/B2-1</f>
        <v>-5.7381288778590722E-4</v>
      </c>
      <c r="D3">
        <v>695622018.25599301</v>
      </c>
      <c r="E3">
        <v>2815155.9695999902</v>
      </c>
      <c r="H3" t="s">
        <v>32</v>
      </c>
      <c r="I3" s="5">
        <f>I2*SQRT(365)</f>
        <v>1.5603012620583789</v>
      </c>
    </row>
    <row r="4" spans="1:9" x14ac:dyDescent="0.25">
      <c r="A4" t="s">
        <v>33</v>
      </c>
      <c r="B4">
        <v>3.02996062162528E-2</v>
      </c>
      <c r="C4" s="5">
        <f t="shared" ref="C4:C67" si="0">B4/B3-1</f>
        <v>0.12932024436482603</v>
      </c>
      <c r="D4">
        <v>785580027.64240897</v>
      </c>
      <c r="E4">
        <v>8883473.08206263</v>
      </c>
      <c r="H4" t="s">
        <v>1185</v>
      </c>
      <c r="I4" s="46">
        <f>(B1144-B2)/2</f>
        <v>6.6062974881796993E-2</v>
      </c>
    </row>
    <row r="5" spans="1:9" x14ac:dyDescent="0.25">
      <c r="A5" t="s">
        <v>34</v>
      </c>
      <c r="B5">
        <v>2.8587962639027301E-2</v>
      </c>
      <c r="C5" s="5">
        <f t="shared" si="0"/>
        <v>-5.6490621198481694E-2</v>
      </c>
      <c r="D5">
        <v>741202123.87977004</v>
      </c>
      <c r="E5">
        <v>5308856.9170957599</v>
      </c>
      <c r="H5" t="s">
        <v>1184</v>
      </c>
      <c r="I5" s="5">
        <f>(B1144/B2-1)</f>
        <v>4.9217434955567185</v>
      </c>
    </row>
    <row r="6" spans="1:9" x14ac:dyDescent="0.25">
      <c r="A6" t="s">
        <v>35</v>
      </c>
      <c r="B6">
        <v>2.7796038407662101E-2</v>
      </c>
      <c r="C6" s="5">
        <f t="shared" si="0"/>
        <v>-2.7701317556784955E-2</v>
      </c>
      <c r="D6">
        <v>720669848.47241199</v>
      </c>
      <c r="E6">
        <v>2901876.1220860099</v>
      </c>
      <c r="H6" t="s">
        <v>1187</v>
      </c>
      <c r="I6" s="45">
        <v>0.17</v>
      </c>
    </row>
    <row r="7" spans="1:9" x14ac:dyDescent="0.25">
      <c r="A7" t="s">
        <v>36</v>
      </c>
      <c r="B7">
        <v>2.6045125887389099E-2</v>
      </c>
      <c r="C7" s="5">
        <f t="shared" si="0"/>
        <v>-6.2991441247626012E-2</v>
      </c>
      <c r="D7">
        <v>675273816.05342805</v>
      </c>
      <c r="E7">
        <v>3505126.5431122398</v>
      </c>
      <c r="I7" s="45"/>
    </row>
    <row r="8" spans="1:9" x14ac:dyDescent="0.25">
      <c r="A8" t="s">
        <v>37</v>
      </c>
      <c r="B8">
        <v>2.7417403031311099E-2</v>
      </c>
      <c r="C8" s="5">
        <f t="shared" si="0"/>
        <v>5.2688443505909399E-2</v>
      </c>
      <c r="D8">
        <v>710852942.36157799</v>
      </c>
      <c r="E8">
        <v>7822397.5439479398</v>
      </c>
    </row>
    <row r="9" spans="1:9" x14ac:dyDescent="0.25">
      <c r="A9" t="s">
        <v>38</v>
      </c>
      <c r="B9">
        <v>2.7269301575106999E-2</v>
      </c>
      <c r="C9" s="5">
        <f t="shared" si="0"/>
        <v>-5.4017317407839549E-3</v>
      </c>
      <c r="D9">
        <v>707013105.45979404</v>
      </c>
      <c r="E9">
        <v>2513886.6376239099</v>
      </c>
    </row>
    <row r="10" spans="1:9" x14ac:dyDescent="0.25">
      <c r="A10" t="s">
        <v>39</v>
      </c>
      <c r="B10">
        <v>2.6591400393809399E-2</v>
      </c>
      <c r="C10" s="5">
        <f t="shared" si="0"/>
        <v>-2.4859499222247283E-2</v>
      </c>
      <c r="D10">
        <v>689437113.71449697</v>
      </c>
      <c r="E10">
        <v>2369400.2414022102</v>
      </c>
    </row>
    <row r="11" spans="1:9" x14ac:dyDescent="0.25">
      <c r="A11" t="s">
        <v>40</v>
      </c>
      <c r="B11">
        <v>2.65096214937607E-2</v>
      </c>
      <c r="C11" s="5">
        <f t="shared" si="0"/>
        <v>-3.07538899183879E-3</v>
      </c>
      <c r="D11">
        <v>687316826.40441597</v>
      </c>
      <c r="E11">
        <v>2569633.77933553</v>
      </c>
    </row>
    <row r="12" spans="1:9" x14ac:dyDescent="0.25">
      <c r="A12" t="s">
        <v>41</v>
      </c>
      <c r="B12">
        <v>2.59764127665419E-2</v>
      </c>
      <c r="C12" s="5">
        <f t="shared" si="0"/>
        <v>-2.011378123012042E-2</v>
      </c>
      <c r="D12">
        <v>673492286.12233496</v>
      </c>
      <c r="E12">
        <v>1729975.2725138201</v>
      </c>
    </row>
    <row r="13" spans="1:9" x14ac:dyDescent="0.25">
      <c r="A13" t="s">
        <v>42</v>
      </c>
      <c r="B13">
        <v>2.8352035441375201E-2</v>
      </c>
      <c r="C13" s="5">
        <f t="shared" si="0"/>
        <v>9.1453069220286842E-2</v>
      </c>
      <c r="D13">
        <v>735085222.78441203</v>
      </c>
      <c r="E13">
        <v>4636164.2555641402</v>
      </c>
    </row>
    <row r="14" spans="1:9" x14ac:dyDescent="0.25">
      <c r="A14" t="s">
        <v>43</v>
      </c>
      <c r="B14">
        <v>2.8385407497551099E-2</v>
      </c>
      <c r="C14" s="5">
        <f t="shared" si="0"/>
        <v>1.1770603294039006E-3</v>
      </c>
      <c r="D14">
        <v>735950462.43888199</v>
      </c>
      <c r="E14">
        <v>3794753.02010408</v>
      </c>
    </row>
    <row r="15" spans="1:9" x14ac:dyDescent="0.25">
      <c r="A15" t="s">
        <v>44</v>
      </c>
      <c r="B15">
        <v>3.0251095296447799E-2</v>
      </c>
      <c r="C15" s="5">
        <f t="shared" si="0"/>
        <v>6.5727004238274933E-2</v>
      </c>
      <c r="D15">
        <v>784322281.60276401</v>
      </c>
      <c r="E15">
        <v>7251416.9502201499</v>
      </c>
    </row>
    <row r="16" spans="1:9" x14ac:dyDescent="0.25">
      <c r="A16" t="s">
        <v>45</v>
      </c>
      <c r="B16">
        <v>2.3096036249201899E-2</v>
      </c>
      <c r="C16" s="5">
        <f t="shared" si="0"/>
        <v>-0.23652231356019937</v>
      </c>
      <c r="D16">
        <v>598812560.981264</v>
      </c>
      <c r="E16">
        <v>7901021.2544243196</v>
      </c>
    </row>
    <row r="17" spans="1:5" x14ac:dyDescent="0.25">
      <c r="A17" t="s">
        <v>46</v>
      </c>
      <c r="B17">
        <v>2.13205774588573E-2</v>
      </c>
      <c r="C17" s="5">
        <f t="shared" si="0"/>
        <v>-7.6872878583482129E-2</v>
      </c>
      <c r="D17">
        <v>552780115.68668795</v>
      </c>
      <c r="E17">
        <v>5955251.3457575198</v>
      </c>
    </row>
    <row r="18" spans="1:5" x14ac:dyDescent="0.25">
      <c r="A18" t="s">
        <v>47</v>
      </c>
      <c r="B18">
        <v>2.2789425903364101E-2</v>
      </c>
      <c r="C18" s="5">
        <f t="shared" si="0"/>
        <v>6.8893464416771355E-2</v>
      </c>
      <c r="D18">
        <v>590863052.91704595</v>
      </c>
      <c r="E18">
        <v>3029089.7359041199</v>
      </c>
    </row>
    <row r="19" spans="1:5" x14ac:dyDescent="0.25">
      <c r="A19" t="s">
        <v>48</v>
      </c>
      <c r="B19">
        <v>2.18020789182456E-2</v>
      </c>
      <c r="C19" s="5">
        <f t="shared" si="0"/>
        <v>-4.3324785332690241E-2</v>
      </c>
      <c r="D19">
        <v>565264037.988397</v>
      </c>
      <c r="E19">
        <v>2455852.8375674901</v>
      </c>
    </row>
    <row r="20" spans="1:5" x14ac:dyDescent="0.25">
      <c r="A20" t="s">
        <v>49</v>
      </c>
      <c r="B20">
        <v>2.20263158144181E-2</v>
      </c>
      <c r="C20" s="5">
        <f t="shared" si="0"/>
        <v>1.0285115332962169E-2</v>
      </c>
      <c r="D20">
        <v>571077843.81268406</v>
      </c>
      <c r="E20">
        <v>2245833.5160859702</v>
      </c>
    </row>
    <row r="21" spans="1:5" x14ac:dyDescent="0.25">
      <c r="A21" t="s">
        <v>50</v>
      </c>
      <c r="B21">
        <v>2.23035646948502E-2</v>
      </c>
      <c r="C21" s="5">
        <f t="shared" si="0"/>
        <v>1.2587165405601564E-2</v>
      </c>
      <c r="D21">
        <v>578266095.09222806</v>
      </c>
      <c r="E21">
        <v>4843621.34086568</v>
      </c>
    </row>
    <row r="22" spans="1:5" x14ac:dyDescent="0.25">
      <c r="A22" t="s">
        <v>51</v>
      </c>
      <c r="B22">
        <v>2.22885656659133E-2</v>
      </c>
      <c r="C22" s="5">
        <f t="shared" si="0"/>
        <v>-6.7249469500108017E-4</v>
      </c>
      <c r="D22">
        <v>577877214.21097898</v>
      </c>
      <c r="E22">
        <v>2527154.86620952</v>
      </c>
    </row>
    <row r="23" spans="1:5" x14ac:dyDescent="0.25">
      <c r="A23" t="s">
        <v>52</v>
      </c>
      <c r="B23">
        <v>2.5146348345649001E-2</v>
      </c>
      <c r="C23" s="5">
        <f t="shared" si="0"/>
        <v>0.12821743321537338</v>
      </c>
      <c r="D23">
        <v>651971147.33076096</v>
      </c>
      <c r="E23">
        <v>6534368.1344504803</v>
      </c>
    </row>
    <row r="24" spans="1:5" x14ac:dyDescent="0.25">
      <c r="A24" t="s">
        <v>53</v>
      </c>
      <c r="B24">
        <v>3.2769495054427798E-2</v>
      </c>
      <c r="C24" s="5">
        <f t="shared" si="0"/>
        <v>0.30315124104680624</v>
      </c>
      <c r="D24">
        <v>849617009.77079201</v>
      </c>
      <c r="E24">
        <v>20628139.7867813</v>
      </c>
    </row>
    <row r="25" spans="1:5" x14ac:dyDescent="0.25">
      <c r="A25" t="s">
        <v>54</v>
      </c>
      <c r="B25">
        <v>2.7293042743377901E-2</v>
      </c>
      <c r="C25" s="5">
        <f t="shared" si="0"/>
        <v>-0.16712043630681217</v>
      </c>
      <c r="D25">
        <v>707628644.40420794</v>
      </c>
      <c r="E25">
        <v>6563683.7842837302</v>
      </c>
    </row>
    <row r="26" spans="1:5" x14ac:dyDescent="0.25">
      <c r="A26" t="s">
        <v>55</v>
      </c>
      <c r="B26">
        <v>2.74985187210103E-2</v>
      </c>
      <c r="C26" s="5">
        <f t="shared" si="0"/>
        <v>7.5285111874252575E-3</v>
      </c>
      <c r="D26">
        <v>712956034.57014894</v>
      </c>
      <c r="E26">
        <v>5632137.8911948605</v>
      </c>
    </row>
    <row r="27" spans="1:5" x14ac:dyDescent="0.25">
      <c r="A27" t="s">
        <v>56</v>
      </c>
      <c r="B27">
        <v>2.4521650906143399E-2</v>
      </c>
      <c r="C27" s="5">
        <f t="shared" si="0"/>
        <v>-0.10825556987520268</v>
      </c>
      <c r="D27">
        <v>635774572.75179195</v>
      </c>
      <c r="E27">
        <v>7550744.66424869</v>
      </c>
    </row>
    <row r="28" spans="1:5" x14ac:dyDescent="0.25">
      <c r="A28" t="s">
        <v>57</v>
      </c>
      <c r="B28">
        <v>2.5114287383622501E-2</v>
      </c>
      <c r="C28" s="5">
        <f t="shared" si="0"/>
        <v>2.4167886564710361E-2</v>
      </c>
      <c r="D28">
        <v>651139900.50678599</v>
      </c>
      <c r="E28">
        <v>4284485.9720815904</v>
      </c>
    </row>
    <row r="29" spans="1:5" x14ac:dyDescent="0.25">
      <c r="A29" t="s">
        <v>58</v>
      </c>
      <c r="B29">
        <v>2.6228305284049399E-2</v>
      </c>
      <c r="C29" s="5">
        <f t="shared" si="0"/>
        <v>4.4357933928611981E-2</v>
      </c>
      <c r="D29">
        <v>680023121.191746</v>
      </c>
      <c r="E29">
        <v>3183479.9731946201</v>
      </c>
    </row>
    <row r="30" spans="1:5" x14ac:dyDescent="0.25">
      <c r="A30" t="s">
        <v>59</v>
      </c>
      <c r="B30">
        <v>2.6014553278549998E-2</v>
      </c>
      <c r="C30" s="5">
        <f t="shared" si="0"/>
        <v>-8.1496689620046414E-3</v>
      </c>
      <c r="D30">
        <v>674481157.86752498</v>
      </c>
      <c r="E30">
        <v>6362414.67189926</v>
      </c>
    </row>
    <row r="31" spans="1:5" x14ac:dyDescent="0.25">
      <c r="A31" t="s">
        <v>60</v>
      </c>
      <c r="B31">
        <v>2.7106272018757298E-2</v>
      </c>
      <c r="C31" s="5">
        <f t="shared" si="0"/>
        <v>4.1965692376792152E-2</v>
      </c>
      <c r="D31">
        <v>702786226.65253699</v>
      </c>
      <c r="E31">
        <v>4825255.3527859999</v>
      </c>
    </row>
    <row r="32" spans="1:5" x14ac:dyDescent="0.25">
      <c r="A32" t="s">
        <v>61</v>
      </c>
      <c r="B32">
        <v>2.59167531670733E-2</v>
      </c>
      <c r="C32" s="5">
        <f t="shared" si="0"/>
        <v>-4.3883528168715435E-2</v>
      </c>
      <c r="D32">
        <v>671945487.47864497</v>
      </c>
      <c r="E32">
        <v>3514321.2781958999</v>
      </c>
    </row>
    <row r="33" spans="1:5" x14ac:dyDescent="0.25">
      <c r="A33" t="s">
        <v>62</v>
      </c>
      <c r="B33">
        <v>2.6527720242460601E-2</v>
      </c>
      <c r="C33" s="5">
        <f t="shared" si="0"/>
        <v>2.357421361575196E-2</v>
      </c>
      <c r="D33">
        <v>687786073.93860805</v>
      </c>
      <c r="E33">
        <v>2984199.94886132</v>
      </c>
    </row>
    <row r="34" spans="1:5" x14ac:dyDescent="0.25">
      <c r="A34" t="s">
        <v>63</v>
      </c>
      <c r="B34">
        <v>2.7721210935590299E-2</v>
      </c>
      <c r="C34" s="5">
        <f t="shared" si="0"/>
        <v>4.4990322659516746E-2</v>
      </c>
      <c r="D34">
        <v>718729791.325827</v>
      </c>
      <c r="E34">
        <v>4652800.3771636495</v>
      </c>
    </row>
    <row r="35" spans="1:5" x14ac:dyDescent="0.25">
      <c r="A35" t="s">
        <v>64</v>
      </c>
      <c r="B35">
        <v>3.0002735904246298E-2</v>
      </c>
      <c r="C35" s="5">
        <f t="shared" si="0"/>
        <v>8.2302500203078388E-2</v>
      </c>
      <c r="D35">
        <v>777883050.12237895</v>
      </c>
      <c r="E35">
        <v>15546079.394535201</v>
      </c>
    </row>
    <row r="36" spans="1:5" x14ac:dyDescent="0.25">
      <c r="A36" t="s">
        <v>65</v>
      </c>
      <c r="B36">
        <v>2.85982155306659E-2</v>
      </c>
      <c r="C36" s="5">
        <f t="shared" si="0"/>
        <v>-4.6813076582846391E-2</v>
      </c>
      <c r="D36">
        <v>741467951.32450104</v>
      </c>
      <c r="E36">
        <v>5910630.5760144703</v>
      </c>
    </row>
    <row r="37" spans="1:5" x14ac:dyDescent="0.25">
      <c r="A37" t="s">
        <v>66</v>
      </c>
      <c r="B37">
        <v>2.87315492166677E-2</v>
      </c>
      <c r="C37" s="5">
        <f t="shared" si="0"/>
        <v>4.6623078932608308E-3</v>
      </c>
      <c r="D37">
        <v>744924903.20656097</v>
      </c>
      <c r="E37">
        <v>4912298.8237142097</v>
      </c>
    </row>
    <row r="38" spans="1:5" x14ac:dyDescent="0.25">
      <c r="A38" t="s">
        <v>67</v>
      </c>
      <c r="B38">
        <v>2.7940666561225701E-2</v>
      </c>
      <c r="C38" s="5">
        <f t="shared" si="0"/>
        <v>-2.7526627592472264E-2</v>
      </c>
      <c r="D38">
        <v>724419632.81163704</v>
      </c>
      <c r="E38">
        <v>5222693.5600672401</v>
      </c>
    </row>
    <row r="39" spans="1:5" x14ac:dyDescent="0.25">
      <c r="A39" t="s">
        <v>68</v>
      </c>
      <c r="B39">
        <v>2.8511937445893198E-2</v>
      </c>
      <c r="C39" s="5">
        <f t="shared" si="0"/>
        <v>2.0445857417742186E-2</v>
      </c>
      <c r="D39">
        <v>739231013.33471596</v>
      </c>
      <c r="E39">
        <v>5653201.5557093397</v>
      </c>
    </row>
    <row r="40" spans="1:5" x14ac:dyDescent="0.25">
      <c r="A40" t="s">
        <v>69</v>
      </c>
      <c r="B40">
        <v>3.0614787598947299E-2</v>
      </c>
      <c r="C40" s="5">
        <f t="shared" si="0"/>
        <v>7.3753323745348931E-2</v>
      </c>
      <c r="D40">
        <v>793751757.58379495</v>
      </c>
      <c r="E40">
        <v>6199363.7651450504</v>
      </c>
    </row>
    <row r="41" spans="1:5" x14ac:dyDescent="0.25">
      <c r="A41" t="s">
        <v>70</v>
      </c>
      <c r="B41">
        <v>3.8547873629857898E-2</v>
      </c>
      <c r="C41" s="5">
        <f t="shared" si="0"/>
        <v>0.25912595360234936</v>
      </c>
      <c r="D41">
        <v>999433438.69123602</v>
      </c>
      <c r="E41">
        <v>30963775.9962897</v>
      </c>
    </row>
    <row r="42" spans="1:5" x14ac:dyDescent="0.25">
      <c r="A42" t="s">
        <v>71</v>
      </c>
      <c r="B42">
        <v>5.0469037975128098E-2</v>
      </c>
      <c r="C42" s="5">
        <f t="shared" si="0"/>
        <v>0.30925608140513527</v>
      </c>
      <c r="D42">
        <v>1308514307.56615</v>
      </c>
      <c r="E42">
        <v>81568060.725104898</v>
      </c>
    </row>
    <row r="43" spans="1:5" x14ac:dyDescent="0.25">
      <c r="A43" t="s">
        <v>72</v>
      </c>
      <c r="B43">
        <v>0.12072568349785801</v>
      </c>
      <c r="C43" s="5">
        <f t="shared" si="0"/>
        <v>1.3920741972009343</v>
      </c>
      <c r="D43">
        <v>3130063311.7972298</v>
      </c>
      <c r="E43">
        <v>341785540.01643598</v>
      </c>
    </row>
    <row r="44" spans="1:5" x14ac:dyDescent="0.25">
      <c r="A44" t="s">
        <v>73</v>
      </c>
      <c r="B44">
        <v>9.2635869850806199E-2</v>
      </c>
      <c r="C44" s="5">
        <f t="shared" si="0"/>
        <v>-0.23267471206779455</v>
      </c>
      <c r="D44">
        <v>2401776731.97084</v>
      </c>
      <c r="E44">
        <v>170782434.03360999</v>
      </c>
    </row>
    <row r="45" spans="1:5" x14ac:dyDescent="0.25">
      <c r="A45" t="s">
        <v>74</v>
      </c>
      <c r="B45">
        <v>0.124064710988949</v>
      </c>
      <c r="C45" s="5">
        <f t="shared" si="0"/>
        <v>0.33927291003755045</v>
      </c>
      <c r="D45">
        <v>3216634513.08707</v>
      </c>
      <c r="E45">
        <v>123583686.659491</v>
      </c>
    </row>
    <row r="46" spans="1:5" x14ac:dyDescent="0.25">
      <c r="A46" t="s">
        <v>75</v>
      </c>
      <c r="B46">
        <v>0.130849110282103</v>
      </c>
      <c r="C46" s="5">
        <f t="shared" si="0"/>
        <v>5.4684359791547177E-2</v>
      </c>
      <c r="D46">
        <v>3392534112.1186299</v>
      </c>
      <c r="E46">
        <v>54354032.935782701</v>
      </c>
    </row>
    <row r="47" spans="1:5" x14ac:dyDescent="0.25">
      <c r="A47" t="s">
        <v>76</v>
      </c>
      <c r="B47">
        <v>0.13529004577283199</v>
      </c>
      <c r="C47" s="5">
        <f t="shared" si="0"/>
        <v>3.3939363295284242E-2</v>
      </c>
      <c r="D47">
        <v>3507674559.8414602</v>
      </c>
      <c r="E47">
        <v>42520482.686660402</v>
      </c>
    </row>
    <row r="48" spans="1:5" x14ac:dyDescent="0.25">
      <c r="A48" t="s">
        <v>77</v>
      </c>
      <c r="B48">
        <v>0.13192854543299501</v>
      </c>
      <c r="C48" s="5">
        <f t="shared" si="0"/>
        <v>-2.4846619872398779E-2</v>
      </c>
      <c r="D48">
        <v>3420520703.4169898</v>
      </c>
      <c r="E48">
        <v>33634685.308243498</v>
      </c>
    </row>
    <row r="49" spans="1:5" x14ac:dyDescent="0.25">
      <c r="A49" t="s">
        <v>78</v>
      </c>
      <c r="B49">
        <v>0.13631822985440301</v>
      </c>
      <c r="C49" s="5">
        <f t="shared" si="0"/>
        <v>3.3273196539845618E-2</v>
      </c>
      <c r="D49">
        <v>3534332361.0503998</v>
      </c>
      <c r="E49">
        <v>73582496.341502503</v>
      </c>
    </row>
    <row r="50" spans="1:5" x14ac:dyDescent="0.25">
      <c r="A50" t="s">
        <v>79</v>
      </c>
      <c r="B50">
        <v>0.13126607067436699</v>
      </c>
      <c r="C50" s="5">
        <f t="shared" si="0"/>
        <v>-3.7061508100802554E-2</v>
      </c>
      <c r="D50">
        <v>3403344673.62041</v>
      </c>
      <c r="E50">
        <v>50109378.741091199</v>
      </c>
    </row>
    <row r="51" spans="1:5" x14ac:dyDescent="0.25">
      <c r="A51" t="s">
        <v>80</v>
      </c>
      <c r="B51">
        <v>0.12899800578145401</v>
      </c>
      <c r="C51" s="5">
        <f t="shared" si="0"/>
        <v>-1.7278378801627969E-2</v>
      </c>
      <c r="D51">
        <v>3344540395.1570802</v>
      </c>
      <c r="E51">
        <v>71389916.560964003</v>
      </c>
    </row>
    <row r="52" spans="1:5" x14ac:dyDescent="0.25">
      <c r="A52" t="s">
        <v>81</v>
      </c>
      <c r="B52">
        <v>0.113499775677648</v>
      </c>
      <c r="C52" s="5">
        <f t="shared" si="0"/>
        <v>-0.12014317593453971</v>
      </c>
      <c r="D52">
        <v>2942716690.0415502</v>
      </c>
      <c r="E52">
        <v>63143994.706803799</v>
      </c>
    </row>
    <row r="53" spans="1:5" x14ac:dyDescent="0.25">
      <c r="A53" t="s">
        <v>82</v>
      </c>
      <c r="B53">
        <v>0.119771110477752</v>
      </c>
      <c r="C53" s="5">
        <f t="shared" si="0"/>
        <v>5.5254160307023792E-2</v>
      </c>
      <c r="D53">
        <v>3105314029.7712698</v>
      </c>
      <c r="E53">
        <v>72541326.961392</v>
      </c>
    </row>
    <row r="54" spans="1:5" x14ac:dyDescent="0.25">
      <c r="A54" t="s">
        <v>83</v>
      </c>
      <c r="B54">
        <v>0.12206968024650899</v>
      </c>
      <c r="C54" s="5">
        <f t="shared" si="0"/>
        <v>1.9191353904863151E-2</v>
      </c>
      <c r="D54">
        <v>3164909210.30234</v>
      </c>
      <c r="E54">
        <v>63562094.442269802</v>
      </c>
    </row>
    <row r="55" spans="1:5" x14ac:dyDescent="0.25">
      <c r="A55" t="s">
        <v>84</v>
      </c>
      <c r="B55">
        <v>0.11075317980310399</v>
      </c>
      <c r="C55" s="5">
        <f t="shared" si="0"/>
        <v>-9.2705251791864507E-2</v>
      </c>
      <c r="D55">
        <v>2871505505.06286</v>
      </c>
      <c r="E55">
        <v>44638620.014659502</v>
      </c>
    </row>
    <row r="56" spans="1:5" x14ac:dyDescent="0.25">
      <c r="A56" t="s">
        <v>85</v>
      </c>
      <c r="B56">
        <v>0.120168304834103</v>
      </c>
      <c r="C56" s="5">
        <f t="shared" si="0"/>
        <v>8.500997486245665E-2</v>
      </c>
      <c r="D56">
        <v>3115612115.8656802</v>
      </c>
      <c r="E56">
        <v>39074223.844990402</v>
      </c>
    </row>
    <row r="57" spans="1:5" x14ac:dyDescent="0.25">
      <c r="A57" t="s">
        <v>86</v>
      </c>
      <c r="B57">
        <v>0.133573902305472</v>
      </c>
      <c r="C57" s="5">
        <f t="shared" si="0"/>
        <v>0.11155684928630683</v>
      </c>
      <c r="D57">
        <v>3463179987.1099</v>
      </c>
      <c r="E57">
        <v>62282284.191690899</v>
      </c>
    </row>
    <row r="58" spans="1:5" x14ac:dyDescent="0.25">
      <c r="A58" t="s">
        <v>87</v>
      </c>
      <c r="B58">
        <v>0.13437650174815499</v>
      </c>
      <c r="C58" s="5">
        <f t="shared" si="0"/>
        <v>6.0086546011623998E-3</v>
      </c>
      <c r="D58">
        <v>3483989039.4741001</v>
      </c>
      <c r="E58">
        <v>62897525.724697702</v>
      </c>
    </row>
    <row r="59" spans="1:5" x14ac:dyDescent="0.25">
      <c r="A59" t="s">
        <v>88</v>
      </c>
      <c r="B59">
        <v>0.21701135928637399</v>
      </c>
      <c r="C59" s="5">
        <f t="shared" si="0"/>
        <v>0.61495020679352952</v>
      </c>
      <c r="D59">
        <v>5626468819.76509</v>
      </c>
      <c r="E59">
        <v>237044480.93008101</v>
      </c>
    </row>
    <row r="60" spans="1:5" x14ac:dyDescent="0.25">
      <c r="A60" t="s">
        <v>89</v>
      </c>
      <c r="B60">
        <v>0.21763440948170101</v>
      </c>
      <c r="C60" s="5">
        <f t="shared" si="0"/>
        <v>2.8710487661838258E-3</v>
      </c>
      <c r="D60">
        <v>5642622686.1280298</v>
      </c>
      <c r="E60">
        <v>213587305.95699999</v>
      </c>
    </row>
    <row r="61" spans="1:5" x14ac:dyDescent="0.25">
      <c r="A61" t="s">
        <v>90</v>
      </c>
      <c r="B61">
        <v>0.40820444810193202</v>
      </c>
      <c r="C61" s="5">
        <f t="shared" si="0"/>
        <v>0.87564296047704904</v>
      </c>
      <c r="D61">
        <v>10583545519.8641</v>
      </c>
      <c r="E61">
        <v>669971136.22878599</v>
      </c>
    </row>
    <row r="62" spans="1:5" x14ac:dyDescent="0.25">
      <c r="A62" t="s">
        <v>91</v>
      </c>
      <c r="B62">
        <v>0.47558948265734602</v>
      </c>
      <c r="C62" s="5">
        <f t="shared" si="0"/>
        <v>0.16507667877883447</v>
      </c>
      <c r="D62">
        <v>12330642063.9879</v>
      </c>
      <c r="E62">
        <v>590821285.86506605</v>
      </c>
    </row>
    <row r="63" spans="1:5" x14ac:dyDescent="0.25">
      <c r="A63" t="s">
        <v>92</v>
      </c>
      <c r="B63">
        <v>0.50689486518577798</v>
      </c>
      <c r="C63" s="5">
        <f t="shared" si="0"/>
        <v>6.5824379364980423E-2</v>
      </c>
      <c r="D63">
        <v>13142298925.0217</v>
      </c>
      <c r="E63">
        <v>227825786.86916301</v>
      </c>
    </row>
    <row r="64" spans="1:5" x14ac:dyDescent="0.25">
      <c r="A64" t="s">
        <v>93</v>
      </c>
      <c r="B64">
        <v>0.54783124628942403</v>
      </c>
      <c r="C64" s="5">
        <f t="shared" si="0"/>
        <v>8.0759115775699941E-2</v>
      </c>
      <c r="D64">
        <v>14203659365.466299</v>
      </c>
      <c r="E64">
        <v>275998423.60834599</v>
      </c>
    </row>
    <row r="65" spans="1:5" x14ac:dyDescent="0.25">
      <c r="A65" t="s">
        <v>94</v>
      </c>
      <c r="B65">
        <v>0.49229674407227397</v>
      </c>
      <c r="C65" s="5">
        <f t="shared" si="0"/>
        <v>-0.10137154934717008</v>
      </c>
      <c r="D65">
        <v>12763812409.1896</v>
      </c>
      <c r="E65">
        <v>184667810.64385101</v>
      </c>
    </row>
    <row r="66" spans="1:5" x14ac:dyDescent="0.25">
      <c r="A66" t="s">
        <v>95</v>
      </c>
      <c r="B66">
        <v>0.49793407778673399</v>
      </c>
      <c r="C66" s="5">
        <f t="shared" si="0"/>
        <v>1.1451088763716033E-2</v>
      </c>
      <c r="D66">
        <v>12909971958.0506</v>
      </c>
      <c r="E66">
        <v>168394697.06855401</v>
      </c>
    </row>
    <row r="67" spans="1:5" x14ac:dyDescent="0.25">
      <c r="A67" t="s">
        <v>96</v>
      </c>
      <c r="B67">
        <v>0.41461711880797802</v>
      </c>
      <c r="C67" s="5">
        <f t="shared" si="0"/>
        <v>-0.16732527998302771</v>
      </c>
      <c r="D67">
        <v>10749807285.5968</v>
      </c>
      <c r="E67">
        <v>152919286.60875601</v>
      </c>
    </row>
    <row r="68" spans="1:5" x14ac:dyDescent="0.25">
      <c r="A68" t="s">
        <v>97</v>
      </c>
      <c r="B68">
        <v>0.43637378035080998</v>
      </c>
      <c r="C68" s="5">
        <f t="shared" ref="C68:C131" si="1">B68/B67-1</f>
        <v>5.2474103349572809E-2</v>
      </c>
      <c r="D68">
        <v>11313893784.089199</v>
      </c>
      <c r="E68">
        <v>90412317.640102103</v>
      </c>
    </row>
    <row r="69" spans="1:5" x14ac:dyDescent="0.25">
      <c r="A69" t="s">
        <v>98</v>
      </c>
      <c r="B69">
        <v>0.40664314455995798</v>
      </c>
      <c r="C69" s="5">
        <f t="shared" si="1"/>
        <v>-6.813112320119441E-2</v>
      </c>
      <c r="D69">
        <v>10543065492.8002</v>
      </c>
      <c r="E69">
        <v>69345060.155033201</v>
      </c>
    </row>
    <row r="70" spans="1:5" x14ac:dyDescent="0.25">
      <c r="A70" t="s">
        <v>99</v>
      </c>
      <c r="B70">
        <v>0.42466437694442899</v>
      </c>
      <c r="C70" s="5">
        <f t="shared" si="1"/>
        <v>4.4317069217956195E-2</v>
      </c>
      <c r="D70">
        <v>11010303256.014</v>
      </c>
      <c r="E70">
        <v>125437694.646658</v>
      </c>
    </row>
    <row r="71" spans="1:5" x14ac:dyDescent="0.25">
      <c r="A71" t="s">
        <v>100</v>
      </c>
      <c r="B71">
        <v>0.44975688048731399</v>
      </c>
      <c r="C71" s="5">
        <f t="shared" si="1"/>
        <v>5.9087846556455048E-2</v>
      </c>
      <c r="D71">
        <v>11660878365.3454</v>
      </c>
      <c r="E71">
        <v>97612771.389979199</v>
      </c>
    </row>
    <row r="72" spans="1:5" x14ac:dyDescent="0.25">
      <c r="A72" t="s">
        <v>101</v>
      </c>
      <c r="B72">
        <v>0.43055965711702698</v>
      </c>
      <c r="C72" s="5">
        <f t="shared" si="1"/>
        <v>-4.2683556835165559E-2</v>
      </c>
      <c r="D72">
        <v>11163150600.8902</v>
      </c>
      <c r="E72">
        <v>84684312.312157899</v>
      </c>
    </row>
    <row r="73" spans="1:5" x14ac:dyDescent="0.25">
      <c r="A73" t="s">
        <v>102</v>
      </c>
      <c r="B73">
        <v>0.42950540203799598</v>
      </c>
      <c r="C73" s="5">
        <f t="shared" si="1"/>
        <v>-2.4485691160434087E-3</v>
      </c>
      <c r="D73">
        <v>11135816855.0912</v>
      </c>
      <c r="E73">
        <v>86905712.056108102</v>
      </c>
    </row>
    <row r="74" spans="1:5" x14ac:dyDescent="0.25">
      <c r="A74" t="s">
        <v>103</v>
      </c>
      <c r="B74">
        <v>0.54530904355021803</v>
      </c>
      <c r="C74" s="5">
        <f t="shared" si="1"/>
        <v>0.26962091969678537</v>
      </c>
      <c r="D74">
        <v>14138266037.135799</v>
      </c>
      <c r="E74">
        <v>288839195.14262098</v>
      </c>
    </row>
    <row r="75" spans="1:5" x14ac:dyDescent="0.25">
      <c r="A75" t="s">
        <v>104</v>
      </c>
      <c r="B75">
        <v>0.67857929095975</v>
      </c>
      <c r="C75" s="5">
        <f t="shared" si="1"/>
        <v>0.2443939798648489</v>
      </c>
      <c r="D75">
        <v>17593573142.3395</v>
      </c>
      <c r="E75">
        <v>674814233.64491999</v>
      </c>
    </row>
    <row r="76" spans="1:5" x14ac:dyDescent="0.25">
      <c r="A76" t="s">
        <v>105</v>
      </c>
      <c r="B76">
        <v>0.76763460379948301</v>
      </c>
      <c r="C76" s="5">
        <f t="shared" si="1"/>
        <v>0.131237887784311</v>
      </c>
      <c r="D76">
        <v>19902516520.1189</v>
      </c>
      <c r="E76">
        <v>312335398.06562698</v>
      </c>
    </row>
    <row r="77" spans="1:5" x14ac:dyDescent="0.25">
      <c r="A77" t="s">
        <v>106</v>
      </c>
      <c r="B77">
        <v>0.74714042363642996</v>
      </c>
      <c r="C77" s="5">
        <f t="shared" si="1"/>
        <v>-2.6697832616735973E-2</v>
      </c>
      <c r="D77">
        <v>19371162465.412899</v>
      </c>
      <c r="E77">
        <v>150103426.408784</v>
      </c>
    </row>
    <row r="78" spans="1:5" x14ac:dyDescent="0.25">
      <c r="A78" t="s">
        <v>107</v>
      </c>
      <c r="B78">
        <v>0.80743025086550801</v>
      </c>
      <c r="C78" s="5">
        <f t="shared" si="1"/>
        <v>8.0694104243001163E-2</v>
      </c>
      <c r="D78">
        <v>20934301068.705101</v>
      </c>
      <c r="E78">
        <v>290148321.46317703</v>
      </c>
    </row>
    <row r="79" spans="1:5" x14ac:dyDescent="0.25">
      <c r="A79" t="s">
        <v>108</v>
      </c>
      <c r="B79">
        <v>1.07540110118388</v>
      </c>
      <c r="C79" s="5">
        <f t="shared" si="1"/>
        <v>0.331881112989173</v>
      </c>
      <c r="D79">
        <v>27882000207.0373</v>
      </c>
      <c r="E79">
        <v>672172539.656618</v>
      </c>
    </row>
    <row r="80" spans="1:5" x14ac:dyDescent="0.25">
      <c r="A80" t="s">
        <v>109</v>
      </c>
      <c r="B80">
        <v>1.1793470150411101</v>
      </c>
      <c r="C80" s="5">
        <f t="shared" si="1"/>
        <v>9.6657808647209631E-2</v>
      </c>
      <c r="D80">
        <v>30577013247.750702</v>
      </c>
      <c r="E80">
        <v>587865819.62218106</v>
      </c>
    </row>
    <row r="81" spans="1:5" x14ac:dyDescent="0.25">
      <c r="A81" t="s">
        <v>110</v>
      </c>
      <c r="B81">
        <v>1.0778211835149401</v>
      </c>
      <c r="C81" s="5">
        <f t="shared" si="1"/>
        <v>-8.6086478560876367E-2</v>
      </c>
      <c r="D81">
        <v>27944745852.342499</v>
      </c>
      <c r="E81">
        <v>507435198.65038502</v>
      </c>
    </row>
    <row r="82" spans="1:5" x14ac:dyDescent="0.25">
      <c r="A82" t="s">
        <v>111</v>
      </c>
      <c r="B82">
        <v>1.09378017248027</v>
      </c>
      <c r="C82" s="5">
        <f t="shared" si="1"/>
        <v>1.4806713033125973E-2</v>
      </c>
      <c r="D82">
        <v>28358515684.962002</v>
      </c>
      <c r="E82">
        <v>311308025.14994597</v>
      </c>
    </row>
    <row r="83" spans="1:5" x14ac:dyDescent="0.25">
      <c r="A83" t="s">
        <v>112</v>
      </c>
      <c r="B83">
        <v>1.05285368051804</v>
      </c>
      <c r="C83" s="5">
        <f t="shared" si="1"/>
        <v>-3.7417474728422495E-2</v>
      </c>
      <c r="D83">
        <v>27297411640.9842</v>
      </c>
      <c r="E83">
        <v>231753940.09091601</v>
      </c>
    </row>
    <row r="84" spans="1:5" x14ac:dyDescent="0.25">
      <c r="A84" t="s">
        <v>113</v>
      </c>
      <c r="B84">
        <v>0.94189993154676199</v>
      </c>
      <c r="C84" s="5">
        <f t="shared" si="1"/>
        <v>-0.10538382590511997</v>
      </c>
      <c r="D84">
        <v>24420705964.950199</v>
      </c>
      <c r="E84">
        <v>271755252.74813902</v>
      </c>
    </row>
    <row r="85" spans="1:5" x14ac:dyDescent="0.25">
      <c r="A85" t="s">
        <v>114</v>
      </c>
      <c r="B85">
        <v>0.86620153965617896</v>
      </c>
      <c r="C85" s="5">
        <f t="shared" si="1"/>
        <v>-8.0367764510050677E-2</v>
      </c>
      <c r="D85">
        <v>22458068418.789902</v>
      </c>
      <c r="E85">
        <v>214077772.77421299</v>
      </c>
    </row>
    <row r="86" spans="1:5" x14ac:dyDescent="0.25">
      <c r="A86" t="s">
        <v>115</v>
      </c>
      <c r="B86">
        <v>0.81644170561199603</v>
      </c>
      <c r="C86" s="5">
        <f t="shared" si="1"/>
        <v>-5.7446023547746305E-2</v>
      </c>
      <c r="D86">
        <v>21167941691.5672</v>
      </c>
      <c r="E86">
        <v>241226048.65506801</v>
      </c>
    </row>
    <row r="87" spans="1:5" x14ac:dyDescent="0.25">
      <c r="A87" t="s">
        <v>116</v>
      </c>
      <c r="B87">
        <v>0.72746172929919195</v>
      </c>
      <c r="C87" s="5">
        <f t="shared" si="1"/>
        <v>-0.10898509434437287</v>
      </c>
      <c r="D87">
        <v>18860951569.2356</v>
      </c>
      <c r="E87">
        <v>240846066.20804599</v>
      </c>
    </row>
    <row r="88" spans="1:5" x14ac:dyDescent="0.25">
      <c r="A88" t="s">
        <v>117</v>
      </c>
      <c r="B88">
        <v>0.96232864180632205</v>
      </c>
      <c r="C88" s="5">
        <f t="shared" si="1"/>
        <v>0.32285810104868551</v>
      </c>
      <c r="D88">
        <v>24950362576.850201</v>
      </c>
      <c r="E88">
        <v>400879519.07123601</v>
      </c>
    </row>
    <row r="89" spans="1:5" x14ac:dyDescent="0.25">
      <c r="A89" t="s">
        <v>118</v>
      </c>
      <c r="B89">
        <v>0.93790718556173702</v>
      </c>
      <c r="C89" s="5">
        <f t="shared" si="1"/>
        <v>-2.5377459615818054E-2</v>
      </c>
      <c r="D89">
        <v>24317185758.1562</v>
      </c>
      <c r="E89">
        <v>324020183.070535</v>
      </c>
    </row>
    <row r="90" spans="1:5" x14ac:dyDescent="0.25">
      <c r="A90" t="s">
        <v>119</v>
      </c>
      <c r="B90">
        <v>0.84188952658382199</v>
      </c>
      <c r="C90" s="5">
        <f t="shared" si="1"/>
        <v>-0.10237437185259179</v>
      </c>
      <c r="D90">
        <v>21827729140.9422</v>
      </c>
      <c r="E90">
        <v>164758594.719643</v>
      </c>
    </row>
    <row r="91" spans="1:5" x14ac:dyDescent="0.25">
      <c r="A91" t="s">
        <v>120</v>
      </c>
      <c r="B91">
        <v>0.82240407448261998</v>
      </c>
      <c r="C91" s="5">
        <f t="shared" si="1"/>
        <v>-2.314490379785239E-2</v>
      </c>
      <c r="D91">
        <v>21322528449.849499</v>
      </c>
      <c r="E91">
        <v>223039389.07426101</v>
      </c>
    </row>
    <row r="92" spans="1:5" x14ac:dyDescent="0.25">
      <c r="A92" t="s">
        <v>121</v>
      </c>
      <c r="B92">
        <v>0.638217739160305</v>
      </c>
      <c r="C92" s="5">
        <f t="shared" si="1"/>
        <v>-0.22396087402435094</v>
      </c>
      <c r="D92">
        <v>16547116341.812099</v>
      </c>
      <c r="E92">
        <v>182356185.249448</v>
      </c>
    </row>
    <row r="93" spans="1:5" x14ac:dyDescent="0.25">
      <c r="A93" t="s">
        <v>122</v>
      </c>
      <c r="B93">
        <v>0.64956716143496995</v>
      </c>
      <c r="C93" s="5">
        <f t="shared" si="1"/>
        <v>1.7782994075967284E-2</v>
      </c>
      <c r="D93">
        <v>16841373613.6929</v>
      </c>
      <c r="E93">
        <v>197027150.93642199</v>
      </c>
    </row>
    <row r="94" spans="1:5" x14ac:dyDescent="0.25">
      <c r="A94" t="s">
        <v>123</v>
      </c>
      <c r="B94">
        <v>0.671356127214076</v>
      </c>
      <c r="C94" s="5">
        <f t="shared" si="1"/>
        <v>3.3543822829608105E-2</v>
      </c>
      <c r="D94">
        <v>17406297666.3978</v>
      </c>
      <c r="E94">
        <v>147757610.91968101</v>
      </c>
    </row>
    <row r="95" spans="1:5" x14ac:dyDescent="0.25">
      <c r="A95" t="s">
        <v>124</v>
      </c>
      <c r="B95">
        <v>0.66575145083488596</v>
      </c>
      <c r="C95" s="5">
        <f t="shared" si="1"/>
        <v>-8.3482910961842904E-3</v>
      </c>
      <c r="D95">
        <v>17260984826.571899</v>
      </c>
      <c r="E95">
        <v>106464152.843637</v>
      </c>
    </row>
    <row r="96" spans="1:5" x14ac:dyDescent="0.25">
      <c r="A96" t="s">
        <v>125</v>
      </c>
      <c r="B96">
        <v>0.73400093473327399</v>
      </c>
      <c r="C96" s="5">
        <f t="shared" si="1"/>
        <v>0.10251496082028777</v>
      </c>
      <c r="D96">
        <v>19030494009.787498</v>
      </c>
      <c r="E96">
        <v>109953899.261127</v>
      </c>
    </row>
    <row r="97" spans="1:5" x14ac:dyDescent="0.25">
      <c r="A97" t="s">
        <v>126</v>
      </c>
      <c r="B97">
        <v>0.62903308176666595</v>
      </c>
      <c r="C97" s="5">
        <f t="shared" si="1"/>
        <v>-0.14300779195158919</v>
      </c>
      <c r="D97">
        <v>16308985081.6998</v>
      </c>
      <c r="E97">
        <v>67487204.525799602</v>
      </c>
    </row>
    <row r="98" spans="1:5" x14ac:dyDescent="0.25">
      <c r="A98" t="s">
        <v>127</v>
      </c>
      <c r="B98">
        <v>0.58135116897143502</v>
      </c>
      <c r="C98" s="5">
        <f t="shared" si="1"/>
        <v>-7.5801915952201204E-2</v>
      </c>
      <c r="D98">
        <v>15072732765.271099</v>
      </c>
      <c r="E98">
        <v>68808151.801950604</v>
      </c>
    </row>
    <row r="99" spans="1:5" x14ac:dyDescent="0.25">
      <c r="A99" t="s">
        <v>128</v>
      </c>
      <c r="B99">
        <v>0.56485086176934396</v>
      </c>
      <c r="C99" s="5">
        <f t="shared" si="1"/>
        <v>-2.8382685169936916E-2</v>
      </c>
      <c r="D99">
        <v>14644928136.5438</v>
      </c>
      <c r="E99">
        <v>62623864.032755002</v>
      </c>
    </row>
    <row r="100" spans="1:5" x14ac:dyDescent="0.25">
      <c r="A100" t="s">
        <v>129</v>
      </c>
      <c r="B100">
        <v>0.62487763324093004</v>
      </c>
      <c r="C100" s="5">
        <f t="shared" si="1"/>
        <v>0.10627012461936891</v>
      </c>
      <c r="D100">
        <v>16201246474.656099</v>
      </c>
      <c r="E100">
        <v>120247479.66728599</v>
      </c>
    </row>
    <row r="101" spans="1:5" x14ac:dyDescent="0.25">
      <c r="A101" t="s">
        <v>130</v>
      </c>
      <c r="B101">
        <v>0.63963832722956004</v>
      </c>
      <c r="C101" s="5">
        <f t="shared" si="1"/>
        <v>2.3621735206097227E-2</v>
      </c>
      <c r="D101">
        <v>16583948028.889099</v>
      </c>
      <c r="E101">
        <v>113543205.04626399</v>
      </c>
    </row>
    <row r="102" spans="1:5" x14ac:dyDescent="0.25">
      <c r="A102" t="s">
        <v>131</v>
      </c>
      <c r="B102">
        <v>0.62060102518183602</v>
      </c>
      <c r="C102" s="5">
        <f t="shared" si="1"/>
        <v>-2.9762603704783452E-2</v>
      </c>
      <c r="D102">
        <v>16090366555.8445</v>
      </c>
      <c r="E102">
        <v>86436298.952481598</v>
      </c>
    </row>
    <row r="103" spans="1:5" x14ac:dyDescent="0.25">
      <c r="A103" t="s">
        <v>132</v>
      </c>
      <c r="B103">
        <v>0.62546372173005205</v>
      </c>
      <c r="C103" s="5">
        <f t="shared" si="1"/>
        <v>7.8354632862414064E-3</v>
      </c>
      <c r="D103">
        <v>16216442032.254999</v>
      </c>
      <c r="E103">
        <v>45494958.251873396</v>
      </c>
    </row>
    <row r="104" spans="1:5" x14ac:dyDescent="0.25">
      <c r="A104" t="s">
        <v>133</v>
      </c>
      <c r="B104">
        <v>0.63057636648555004</v>
      </c>
      <c r="C104" s="5">
        <f t="shared" si="1"/>
        <v>8.1741667468038237E-3</v>
      </c>
      <c r="D104">
        <v>16348997933.4666</v>
      </c>
      <c r="E104">
        <v>51114212.465829797</v>
      </c>
    </row>
    <row r="105" spans="1:5" x14ac:dyDescent="0.25">
      <c r="A105" t="s">
        <v>134</v>
      </c>
      <c r="B105">
        <v>0.59247071764654102</v>
      </c>
      <c r="C105" s="5">
        <f t="shared" si="1"/>
        <v>-6.0429871565575444E-2</v>
      </c>
      <c r="D105">
        <v>15361030088.1213</v>
      </c>
      <c r="E105">
        <v>54376792.262180403</v>
      </c>
    </row>
    <row r="106" spans="1:5" x14ac:dyDescent="0.25">
      <c r="A106" t="s">
        <v>135</v>
      </c>
      <c r="B106">
        <v>0.587949207489459</v>
      </c>
      <c r="C106" s="5">
        <f t="shared" si="1"/>
        <v>-7.6316179389298577E-3</v>
      </c>
      <c r="D106">
        <v>15243800575.340401</v>
      </c>
      <c r="E106">
        <v>54034613.730166197</v>
      </c>
    </row>
    <row r="107" spans="1:5" x14ac:dyDescent="0.25">
      <c r="A107" t="s">
        <v>136</v>
      </c>
      <c r="B107">
        <v>0.50171656946254595</v>
      </c>
      <c r="C107" s="5">
        <f t="shared" si="1"/>
        <v>-0.1466668156508385</v>
      </c>
      <c r="D107">
        <v>13008040886.538799</v>
      </c>
      <c r="E107">
        <v>60904687.425443202</v>
      </c>
    </row>
    <row r="108" spans="1:5" x14ac:dyDescent="0.25">
      <c r="A108" t="s">
        <v>137</v>
      </c>
      <c r="B108">
        <v>0.499461910407001</v>
      </c>
      <c r="C108" s="5">
        <f t="shared" si="1"/>
        <v>-4.4938899625344142E-3</v>
      </c>
      <c r="D108">
        <v>12949584182.1665</v>
      </c>
      <c r="E108">
        <v>58966605.099241503</v>
      </c>
    </row>
    <row r="109" spans="1:5" x14ac:dyDescent="0.25">
      <c r="A109" t="s">
        <v>138</v>
      </c>
      <c r="B109">
        <v>0.41192005156171602</v>
      </c>
      <c r="C109" s="5">
        <f t="shared" si="1"/>
        <v>-0.175272342137059</v>
      </c>
      <c r="D109">
        <v>10679880232.857201</v>
      </c>
      <c r="E109">
        <v>86000222.893148407</v>
      </c>
    </row>
    <row r="110" spans="1:5" x14ac:dyDescent="0.25">
      <c r="A110" t="s">
        <v>139</v>
      </c>
      <c r="B110">
        <v>0.39990284748947202</v>
      </c>
      <c r="C110" s="5">
        <f t="shared" si="1"/>
        <v>-2.9173632181009546E-2</v>
      </c>
      <c r="D110">
        <v>10368309335.2066</v>
      </c>
      <c r="E110">
        <v>165611115.05871001</v>
      </c>
    </row>
    <row r="111" spans="1:5" x14ac:dyDescent="0.25">
      <c r="A111" t="s">
        <v>140</v>
      </c>
      <c r="B111">
        <v>0.44804272477229801</v>
      </c>
      <c r="C111" s="5">
        <f t="shared" si="1"/>
        <v>0.12037893099546726</v>
      </c>
      <c r="D111">
        <v>11616435329.209</v>
      </c>
      <c r="E111">
        <v>138106828.268011</v>
      </c>
    </row>
    <row r="112" spans="1:5" x14ac:dyDescent="0.25">
      <c r="A112" t="s">
        <v>141</v>
      </c>
      <c r="B112">
        <v>0.39506509860605399</v>
      </c>
      <c r="C112" s="5">
        <f t="shared" si="1"/>
        <v>-0.11824235332281763</v>
      </c>
      <c r="D112">
        <v>10242880678.6611</v>
      </c>
      <c r="E112">
        <v>83335835.564259499</v>
      </c>
    </row>
    <row r="113" spans="1:5" x14ac:dyDescent="0.25">
      <c r="A113" t="s">
        <v>142</v>
      </c>
      <c r="B113">
        <v>0.31001161801141702</v>
      </c>
      <c r="C113" s="5">
        <f t="shared" si="1"/>
        <v>-0.21528978615104022</v>
      </c>
      <c r="D113">
        <v>8037693087.7815304</v>
      </c>
      <c r="E113">
        <v>69466413.883850098</v>
      </c>
    </row>
    <row r="114" spans="1:5" x14ac:dyDescent="0.25">
      <c r="A114" t="s">
        <v>143</v>
      </c>
      <c r="B114">
        <v>0.35997582326542599</v>
      </c>
      <c r="C114" s="5">
        <f t="shared" si="1"/>
        <v>0.16116881546087369</v>
      </c>
      <c r="D114">
        <v>9333118561.7773304</v>
      </c>
      <c r="E114">
        <v>108155653.233302</v>
      </c>
    </row>
    <row r="115" spans="1:5" x14ac:dyDescent="0.25">
      <c r="A115" t="s">
        <v>144</v>
      </c>
      <c r="B115">
        <v>0.330254868466969</v>
      </c>
      <c r="C115" s="5">
        <f t="shared" si="1"/>
        <v>-8.2563752556633285E-2</v>
      </c>
      <c r="D115">
        <v>8562541270.2610302</v>
      </c>
      <c r="E115">
        <v>58421560.152458496</v>
      </c>
    </row>
    <row r="116" spans="1:5" x14ac:dyDescent="0.25">
      <c r="A116" t="s">
        <v>145</v>
      </c>
      <c r="B116">
        <v>0.34237167008979602</v>
      </c>
      <c r="C116" s="5">
        <f t="shared" si="1"/>
        <v>3.6689244519158004E-2</v>
      </c>
      <c r="D116">
        <v>8876694440.6310291</v>
      </c>
      <c r="E116">
        <v>23763678.044436701</v>
      </c>
    </row>
    <row r="117" spans="1:5" x14ac:dyDescent="0.25">
      <c r="A117" t="s">
        <v>146</v>
      </c>
      <c r="B117">
        <v>0.37724600726315</v>
      </c>
      <c r="C117" s="5">
        <f t="shared" si="1"/>
        <v>0.10186104815333374</v>
      </c>
      <c r="D117">
        <v>9780883840.4905491</v>
      </c>
      <c r="E117">
        <v>58814949.314856201</v>
      </c>
    </row>
    <row r="118" spans="1:5" x14ac:dyDescent="0.25">
      <c r="A118" t="s">
        <v>147</v>
      </c>
      <c r="B118">
        <v>0.384454867565513</v>
      </c>
      <c r="C118" s="5">
        <f t="shared" si="1"/>
        <v>1.9109175878790463E-2</v>
      </c>
      <c r="D118">
        <v>9967788470.0485001</v>
      </c>
      <c r="E118">
        <v>93596129.668849796</v>
      </c>
    </row>
    <row r="119" spans="1:5" x14ac:dyDescent="0.25">
      <c r="A119" t="s">
        <v>148</v>
      </c>
      <c r="B119">
        <v>0.35515769223871901</v>
      </c>
      <c r="C119" s="5">
        <f t="shared" si="1"/>
        <v>-7.6204459348668818E-2</v>
      </c>
      <c r="D119">
        <v>9208198538.7865791</v>
      </c>
      <c r="E119">
        <v>32670730.669898301</v>
      </c>
    </row>
    <row r="120" spans="1:5" x14ac:dyDescent="0.25">
      <c r="A120" t="s">
        <v>149</v>
      </c>
      <c r="B120">
        <v>0.37192083422265898</v>
      </c>
      <c r="C120" s="5">
        <f t="shared" si="1"/>
        <v>4.719915223650184E-2</v>
      </c>
      <c r="D120">
        <v>9642817703.4426994</v>
      </c>
      <c r="E120">
        <v>49329420.437969998</v>
      </c>
    </row>
    <row r="121" spans="1:5" x14ac:dyDescent="0.25">
      <c r="A121" t="s">
        <v>150</v>
      </c>
      <c r="B121">
        <v>0.354757442469607</v>
      </c>
      <c r="C121" s="5">
        <f t="shared" si="1"/>
        <v>-4.6147970680170958E-2</v>
      </c>
      <c r="D121">
        <v>9197821234.7899895</v>
      </c>
      <c r="E121">
        <v>50797813.492324904</v>
      </c>
    </row>
    <row r="122" spans="1:5" x14ac:dyDescent="0.25">
      <c r="A122" t="s">
        <v>151</v>
      </c>
      <c r="B122">
        <v>0.38574353026605701</v>
      </c>
      <c r="C122" s="5">
        <f t="shared" si="1"/>
        <v>8.7344433370427854E-2</v>
      </c>
      <c r="D122">
        <v>10001199718.7852</v>
      </c>
      <c r="E122">
        <v>62947697.432239302</v>
      </c>
    </row>
    <row r="123" spans="1:5" x14ac:dyDescent="0.25">
      <c r="A123" t="s">
        <v>152</v>
      </c>
      <c r="B123">
        <v>0.39091043898822703</v>
      </c>
      <c r="C123" s="5">
        <f t="shared" si="1"/>
        <v>1.3394673706144333E-2</v>
      </c>
      <c r="D123">
        <v>10135162525.688299</v>
      </c>
      <c r="E123">
        <v>53183519.864768103</v>
      </c>
    </row>
    <row r="124" spans="1:5" x14ac:dyDescent="0.25">
      <c r="A124" t="s">
        <v>153</v>
      </c>
      <c r="B124">
        <v>0.39076213798709097</v>
      </c>
      <c r="C124" s="5">
        <f t="shared" si="1"/>
        <v>-3.7937334577176074E-4</v>
      </c>
      <c r="D124">
        <v>10131317515.171</v>
      </c>
      <c r="E124">
        <v>57409442.886849597</v>
      </c>
    </row>
    <row r="125" spans="1:5" x14ac:dyDescent="0.25">
      <c r="A125" t="s">
        <v>154</v>
      </c>
      <c r="B125">
        <v>0.41475537686890601</v>
      </c>
      <c r="C125" s="5">
        <f t="shared" si="1"/>
        <v>6.140113524153068E-2</v>
      </c>
      <c r="D125">
        <v>10753391912.0949</v>
      </c>
      <c r="E125">
        <v>78769451.854811698</v>
      </c>
    </row>
    <row r="126" spans="1:5" x14ac:dyDescent="0.25">
      <c r="A126" t="s">
        <v>155</v>
      </c>
      <c r="B126">
        <v>0.36880412256656903</v>
      </c>
      <c r="C126" s="5">
        <f t="shared" si="1"/>
        <v>-0.11079122023500865</v>
      </c>
      <c r="D126">
        <v>9562010500.4886398</v>
      </c>
      <c r="E126">
        <v>49090687.346982099</v>
      </c>
    </row>
    <row r="127" spans="1:5" x14ac:dyDescent="0.25">
      <c r="A127" t="s">
        <v>156</v>
      </c>
      <c r="B127">
        <v>0.37366498315990598</v>
      </c>
      <c r="C127" s="5">
        <f t="shared" si="1"/>
        <v>1.3180060351574818E-2</v>
      </c>
      <c r="D127">
        <v>9688038375.9674797</v>
      </c>
      <c r="E127">
        <v>47764084.925342299</v>
      </c>
    </row>
    <row r="128" spans="1:5" x14ac:dyDescent="0.25">
      <c r="A128" t="s">
        <v>157</v>
      </c>
      <c r="B128">
        <v>0.35618085040087499</v>
      </c>
      <c r="C128" s="5">
        <f t="shared" si="1"/>
        <v>-4.6790931842679129E-2</v>
      </c>
      <c r="D128">
        <v>9234726032.6283092</v>
      </c>
      <c r="E128">
        <v>61634100.151506297</v>
      </c>
    </row>
    <row r="129" spans="1:5" x14ac:dyDescent="0.25">
      <c r="A129" t="s">
        <v>158</v>
      </c>
      <c r="B129">
        <v>0.31548441582765602</v>
      </c>
      <c r="C129" s="5">
        <f t="shared" si="1"/>
        <v>-0.11425778372817041</v>
      </c>
      <c r="D129">
        <v>8179586702.8033705</v>
      </c>
      <c r="E129">
        <v>38964450.408996299</v>
      </c>
    </row>
    <row r="130" spans="1:5" x14ac:dyDescent="0.25">
      <c r="A130" t="s">
        <v>159</v>
      </c>
      <c r="B130">
        <v>0.31734951503714998</v>
      </c>
      <c r="C130" s="5">
        <f t="shared" si="1"/>
        <v>5.9118584498094595E-3</v>
      </c>
      <c r="D130">
        <v>8227943261.5682898</v>
      </c>
      <c r="E130">
        <v>39605926.7576074</v>
      </c>
    </row>
    <row r="131" spans="1:5" x14ac:dyDescent="0.25">
      <c r="A131" t="s">
        <v>160</v>
      </c>
      <c r="B131">
        <v>0.32549417709221801</v>
      </c>
      <c r="C131" s="5">
        <f t="shared" si="1"/>
        <v>2.5664643143111787E-2</v>
      </c>
      <c r="D131">
        <v>8439110489.1782103</v>
      </c>
      <c r="E131">
        <v>47102348.274123996</v>
      </c>
    </row>
    <row r="132" spans="1:5" x14ac:dyDescent="0.25">
      <c r="A132" t="s">
        <v>161</v>
      </c>
      <c r="B132">
        <v>0.30282512903692699</v>
      </c>
      <c r="C132" s="5">
        <f t="shared" ref="C132:C195" si="2">B132/B131-1</f>
        <v>-6.9645018715245643E-2</v>
      </c>
      <c r="D132">
        <v>7851368481.2193499</v>
      </c>
      <c r="E132">
        <v>30548017.6837028</v>
      </c>
    </row>
    <row r="133" spans="1:5" x14ac:dyDescent="0.25">
      <c r="A133" t="s">
        <v>162</v>
      </c>
      <c r="B133">
        <v>0.33205786698288903</v>
      </c>
      <c r="C133" s="5">
        <f t="shared" si="2"/>
        <v>9.6533395491090079E-2</v>
      </c>
      <c r="D133">
        <v>8609287739.9631901</v>
      </c>
      <c r="E133">
        <v>71917005.916489094</v>
      </c>
    </row>
    <row r="134" spans="1:5" x14ac:dyDescent="0.25">
      <c r="A134" t="s">
        <v>163</v>
      </c>
      <c r="B134">
        <v>0.32859065924094699</v>
      </c>
      <c r="C134" s="5">
        <f t="shared" si="2"/>
        <v>-1.0441576865639179E-2</v>
      </c>
      <c r="D134">
        <v>8519393200.2679596</v>
      </c>
      <c r="E134">
        <v>59971698.446942396</v>
      </c>
    </row>
    <row r="135" spans="1:5" x14ac:dyDescent="0.25">
      <c r="A135" t="s">
        <v>164</v>
      </c>
      <c r="B135">
        <v>0.33008855068851201</v>
      </c>
      <c r="C135" s="5">
        <f t="shared" si="2"/>
        <v>4.558533255404118E-3</v>
      </c>
      <c r="D135">
        <v>8558229137.4872503</v>
      </c>
      <c r="E135">
        <v>43595311.863694496</v>
      </c>
    </row>
    <row r="136" spans="1:5" x14ac:dyDescent="0.25">
      <c r="A136" t="s">
        <v>165</v>
      </c>
      <c r="B136">
        <v>0.30580623432974602</v>
      </c>
      <c r="C136" s="5">
        <f t="shared" si="2"/>
        <v>-7.3563037276261012E-2</v>
      </c>
      <c r="D136">
        <v>7928659808.4274998</v>
      </c>
      <c r="E136">
        <v>42777371.5542427</v>
      </c>
    </row>
    <row r="137" spans="1:5" x14ac:dyDescent="0.25">
      <c r="A137" t="s">
        <v>166</v>
      </c>
      <c r="B137">
        <v>0.29982934516478899</v>
      </c>
      <c r="C137" s="5">
        <f t="shared" si="2"/>
        <v>-1.954469364582101E-2</v>
      </c>
      <c r="D137">
        <v>7773696581.4498396</v>
      </c>
      <c r="E137">
        <v>69019786.037076294</v>
      </c>
    </row>
    <row r="138" spans="1:5" x14ac:dyDescent="0.25">
      <c r="A138" t="s">
        <v>167</v>
      </c>
      <c r="B138">
        <v>0.29141113434271498</v>
      </c>
      <c r="C138" s="5">
        <f t="shared" si="2"/>
        <v>-2.8076674140909308E-2</v>
      </c>
      <c r="D138">
        <v>7555437035.6621799</v>
      </c>
      <c r="E138">
        <v>49647483.404018797</v>
      </c>
    </row>
    <row r="139" spans="1:5" x14ac:dyDescent="0.25">
      <c r="A139" t="s">
        <v>168</v>
      </c>
      <c r="B139">
        <v>0.28973993285399502</v>
      </c>
      <c r="C139" s="5">
        <f t="shared" si="2"/>
        <v>-5.7348580468258303E-3</v>
      </c>
      <c r="D139">
        <v>7512107676.78092</v>
      </c>
      <c r="E139">
        <v>50351067.008505799</v>
      </c>
    </row>
    <row r="140" spans="1:5" x14ac:dyDescent="0.25">
      <c r="A140" t="s">
        <v>169</v>
      </c>
      <c r="B140">
        <v>0.29609728759534198</v>
      </c>
      <c r="C140" s="5">
        <f t="shared" si="2"/>
        <v>2.1941589751629298E-2</v>
      </c>
      <c r="D140">
        <v>7676935261.5949001</v>
      </c>
      <c r="E140">
        <v>41440713.657394901</v>
      </c>
    </row>
    <row r="141" spans="1:5" x14ac:dyDescent="0.25">
      <c r="A141" t="s">
        <v>170</v>
      </c>
      <c r="B141">
        <v>0.29517408599932898</v>
      </c>
      <c r="C141" s="5">
        <f t="shared" si="2"/>
        <v>-3.1178995373800644E-3</v>
      </c>
      <c r="D141">
        <v>7652999348.6942797</v>
      </c>
      <c r="E141">
        <v>75174582.890986204</v>
      </c>
    </row>
    <row r="142" spans="1:5" x14ac:dyDescent="0.25">
      <c r="A142" t="s">
        <v>171</v>
      </c>
      <c r="B142">
        <v>0.27834281537457201</v>
      </c>
      <c r="C142" s="5">
        <f t="shared" si="2"/>
        <v>-5.7021505013808205E-2</v>
      </c>
      <c r="D142">
        <v>7216613807.96206</v>
      </c>
      <c r="E142">
        <v>42013215.8020887</v>
      </c>
    </row>
    <row r="143" spans="1:5" x14ac:dyDescent="0.25">
      <c r="A143" t="s">
        <v>172</v>
      </c>
      <c r="B143">
        <v>0.244571878222967</v>
      </c>
      <c r="C143" s="5">
        <f t="shared" si="2"/>
        <v>-0.12132857500258709</v>
      </c>
      <c r="D143">
        <v>6341032338.2980204</v>
      </c>
      <c r="E143">
        <v>60496864.483182698</v>
      </c>
    </row>
    <row r="144" spans="1:5" x14ac:dyDescent="0.25">
      <c r="A144" t="s">
        <v>173</v>
      </c>
      <c r="B144">
        <v>0.215738896451839</v>
      </c>
      <c r="C144" s="5">
        <f t="shared" si="2"/>
        <v>-0.11789164797124407</v>
      </c>
      <c r="D144">
        <v>5593477586.0971098</v>
      </c>
      <c r="E144">
        <v>42272553.651506498</v>
      </c>
    </row>
    <row r="145" spans="1:5" x14ac:dyDescent="0.25">
      <c r="A145" t="s">
        <v>174</v>
      </c>
      <c r="B145">
        <v>0.21124978226718599</v>
      </c>
      <c r="C145" s="5">
        <f t="shared" si="2"/>
        <v>-2.0808089122932638E-2</v>
      </c>
      <c r="D145">
        <v>5477088005.9784803</v>
      </c>
      <c r="E145">
        <v>49682507.708460703</v>
      </c>
    </row>
    <row r="146" spans="1:5" x14ac:dyDescent="0.25">
      <c r="A146" t="s">
        <v>175</v>
      </c>
      <c r="B146">
        <v>0.20501892019922199</v>
      </c>
      <c r="C146" s="5">
        <f t="shared" si="2"/>
        <v>-2.9495235455832547E-2</v>
      </c>
      <c r="D146">
        <v>5315540005.6298304</v>
      </c>
      <c r="E146">
        <v>34399754.649275102</v>
      </c>
    </row>
    <row r="147" spans="1:5" x14ac:dyDescent="0.25">
      <c r="A147" t="s">
        <v>176</v>
      </c>
      <c r="B147">
        <v>0.219994536454585</v>
      </c>
      <c r="C147" s="5">
        <f t="shared" si="2"/>
        <v>7.3045045017361421E-2</v>
      </c>
      <c r="D147">
        <v>5703813864.6326303</v>
      </c>
      <c r="E147">
        <v>32635606.518353701</v>
      </c>
    </row>
    <row r="148" spans="1:5" x14ac:dyDescent="0.25">
      <c r="A148" t="s">
        <v>177</v>
      </c>
      <c r="B148">
        <v>0.224542177220341</v>
      </c>
      <c r="C148" s="5">
        <f t="shared" si="2"/>
        <v>2.0671607754653598E-2</v>
      </c>
      <c r="D148">
        <v>5821720867.5478897</v>
      </c>
      <c r="E148">
        <v>195011717.08936399</v>
      </c>
    </row>
    <row r="149" spans="1:5" x14ac:dyDescent="0.25">
      <c r="A149" t="s">
        <v>178</v>
      </c>
      <c r="B149">
        <v>0.22159015518213099</v>
      </c>
      <c r="C149" s="5">
        <f t="shared" si="2"/>
        <v>-1.3146848733515348E-2</v>
      </c>
      <c r="D149">
        <v>5745183583.9334698</v>
      </c>
      <c r="E149">
        <v>104229952.93572199</v>
      </c>
    </row>
    <row r="150" spans="1:5" x14ac:dyDescent="0.25">
      <c r="A150" t="s">
        <v>179</v>
      </c>
      <c r="B150">
        <v>0.200277115049494</v>
      </c>
      <c r="C150" s="5">
        <f t="shared" si="2"/>
        <v>-9.6182251937678487E-2</v>
      </c>
      <c r="D150">
        <v>5192598889.0353699</v>
      </c>
      <c r="E150">
        <v>146577842.11683199</v>
      </c>
    </row>
    <row r="151" spans="1:5" x14ac:dyDescent="0.25">
      <c r="A151" t="s">
        <v>180</v>
      </c>
      <c r="B151">
        <v>0.18734302301339101</v>
      </c>
      <c r="C151" s="5">
        <f t="shared" si="2"/>
        <v>-6.4580978375420539E-2</v>
      </c>
      <c r="D151">
        <v>4857255772.4703598</v>
      </c>
      <c r="E151">
        <v>213685102.24859899</v>
      </c>
    </row>
    <row r="152" spans="1:5" x14ac:dyDescent="0.25">
      <c r="A152" t="s">
        <v>181</v>
      </c>
      <c r="B152">
        <v>0.18206790679910301</v>
      </c>
      <c r="C152" s="5">
        <f t="shared" si="2"/>
        <v>-2.8157526922745091E-2</v>
      </c>
      <c r="D152">
        <v>4720487462.2863703</v>
      </c>
      <c r="E152">
        <v>103318371.344008</v>
      </c>
    </row>
    <row r="153" spans="1:5" x14ac:dyDescent="0.25">
      <c r="A153" t="s">
        <v>182</v>
      </c>
      <c r="B153">
        <v>0.15804012169192799</v>
      </c>
      <c r="C153" s="5">
        <f t="shared" si="2"/>
        <v>-0.13197155681966344</v>
      </c>
      <c r="D153">
        <v>4097517382.9407201</v>
      </c>
      <c r="E153">
        <v>84174499.432068393</v>
      </c>
    </row>
    <row r="154" spans="1:5" x14ac:dyDescent="0.25">
      <c r="A154" t="s">
        <v>183</v>
      </c>
      <c r="B154">
        <v>0.15605259100982399</v>
      </c>
      <c r="C154" s="5">
        <f t="shared" si="2"/>
        <v>-1.2576114601951183E-2</v>
      </c>
      <c r="D154">
        <v>4045986534.7493701</v>
      </c>
      <c r="E154">
        <v>206870346.724902</v>
      </c>
    </row>
    <row r="155" spans="1:5" x14ac:dyDescent="0.25">
      <c r="A155" t="s">
        <v>184</v>
      </c>
      <c r="B155">
        <v>0.19463663042717599</v>
      </c>
      <c r="C155" s="5">
        <f t="shared" si="2"/>
        <v>0.24725023255091627</v>
      </c>
      <c r="D155">
        <v>5046357646.3640404</v>
      </c>
      <c r="E155">
        <v>333093443.506477</v>
      </c>
    </row>
    <row r="156" spans="1:5" x14ac:dyDescent="0.25">
      <c r="A156" t="s">
        <v>185</v>
      </c>
      <c r="B156">
        <v>0.20375635471668299</v>
      </c>
      <c r="C156" s="5">
        <f t="shared" si="2"/>
        <v>4.6855128294666981E-2</v>
      </c>
      <c r="D156">
        <v>5282805381.3051901</v>
      </c>
      <c r="E156">
        <v>259733129.078255</v>
      </c>
    </row>
    <row r="157" spans="1:5" x14ac:dyDescent="0.25">
      <c r="A157" t="s">
        <v>186</v>
      </c>
      <c r="B157">
        <v>0.215881960544551</v>
      </c>
      <c r="C157" s="5">
        <f t="shared" si="2"/>
        <v>5.9510319787219768E-2</v>
      </c>
      <c r="D157">
        <v>5597186818.92031</v>
      </c>
      <c r="E157">
        <v>271312135.78441501</v>
      </c>
    </row>
    <row r="158" spans="1:5" x14ac:dyDescent="0.25">
      <c r="A158" t="s">
        <v>187</v>
      </c>
      <c r="B158">
        <v>0.20377530994314499</v>
      </c>
      <c r="C158" s="5">
        <f t="shared" si="2"/>
        <v>-5.6079954855271841E-2</v>
      </c>
      <c r="D158">
        <v>5283296834.7987299</v>
      </c>
      <c r="E158">
        <v>209925461.771575</v>
      </c>
    </row>
    <row r="159" spans="1:5" x14ac:dyDescent="0.25">
      <c r="A159" t="s">
        <v>188</v>
      </c>
      <c r="B159">
        <v>0.18928756545591399</v>
      </c>
      <c r="C159" s="5">
        <f t="shared" si="2"/>
        <v>-7.1096662747185624E-2</v>
      </c>
      <c r="D159">
        <v>4907672061.5417805</v>
      </c>
      <c r="E159">
        <v>150987639.64816499</v>
      </c>
    </row>
    <row r="160" spans="1:5" x14ac:dyDescent="0.25">
      <c r="A160" t="s">
        <v>189</v>
      </c>
      <c r="B160">
        <v>0.18911688818908801</v>
      </c>
      <c r="C160" s="5">
        <f t="shared" si="2"/>
        <v>-9.0168240272359146E-4</v>
      </c>
      <c r="D160">
        <v>4903246900.0055504</v>
      </c>
      <c r="E160">
        <v>138676434.73697901</v>
      </c>
    </row>
    <row r="161" spans="1:5" x14ac:dyDescent="0.25">
      <c r="A161" t="s">
        <v>190</v>
      </c>
      <c r="B161">
        <v>0.184856169337905</v>
      </c>
      <c r="C161" s="5">
        <f t="shared" si="2"/>
        <v>-2.2529552447600243E-2</v>
      </c>
      <c r="D161">
        <v>4792778941.8083496</v>
      </c>
      <c r="E161">
        <v>63276264.759483099</v>
      </c>
    </row>
    <row r="162" spans="1:5" x14ac:dyDescent="0.25">
      <c r="A162" t="s">
        <v>191</v>
      </c>
      <c r="B162">
        <v>0.16780512286006599</v>
      </c>
      <c r="C162" s="5">
        <f t="shared" si="2"/>
        <v>-9.2239531625643578E-2</v>
      </c>
      <c r="D162">
        <v>4350695257.0306997</v>
      </c>
      <c r="E162">
        <v>122615730.542988</v>
      </c>
    </row>
    <row r="163" spans="1:5" x14ac:dyDescent="0.25">
      <c r="A163" t="s">
        <v>192</v>
      </c>
      <c r="B163">
        <v>0.15567516111215601</v>
      </c>
      <c r="C163" s="5">
        <f t="shared" si="2"/>
        <v>-7.2286003795159703E-2</v>
      </c>
      <c r="D163">
        <v>4036200883.1694002</v>
      </c>
      <c r="E163">
        <v>110269538.205911</v>
      </c>
    </row>
    <row r="164" spans="1:5" x14ac:dyDescent="0.25">
      <c r="A164" t="s">
        <v>193</v>
      </c>
      <c r="B164">
        <v>0.15990271243968801</v>
      </c>
      <c r="C164" s="5">
        <f t="shared" si="2"/>
        <v>2.7156235441351262E-2</v>
      </c>
      <c r="D164">
        <v>4145808904.6413202</v>
      </c>
      <c r="E164">
        <v>63290185.106981799</v>
      </c>
    </row>
    <row r="165" spans="1:5" x14ac:dyDescent="0.25">
      <c r="A165" t="s">
        <v>194</v>
      </c>
      <c r="B165">
        <v>0.146256324869592</v>
      </c>
      <c r="C165" s="5">
        <f t="shared" si="2"/>
        <v>-8.5341814168681696E-2</v>
      </c>
      <c r="D165">
        <v>3791998051.5225501</v>
      </c>
      <c r="E165">
        <v>107780151.345502</v>
      </c>
    </row>
    <row r="166" spans="1:5" x14ac:dyDescent="0.25">
      <c r="A166" t="s">
        <v>195</v>
      </c>
      <c r="B166">
        <v>0.14672090061322399</v>
      </c>
      <c r="C166" s="5">
        <f t="shared" si="2"/>
        <v>3.1764489094485704E-3</v>
      </c>
      <c r="D166">
        <v>3804043139.59795</v>
      </c>
      <c r="E166">
        <v>124911837.80593801</v>
      </c>
    </row>
    <row r="167" spans="1:5" x14ac:dyDescent="0.25">
      <c r="A167" t="s">
        <v>196</v>
      </c>
      <c r="B167">
        <v>0.15553196120838</v>
      </c>
      <c r="C167" s="5">
        <f t="shared" si="2"/>
        <v>6.0053206859622232E-2</v>
      </c>
      <c r="D167">
        <v>4032488129.1631598</v>
      </c>
      <c r="E167">
        <v>118207280.74721</v>
      </c>
    </row>
    <row r="168" spans="1:5" x14ac:dyDescent="0.25">
      <c r="A168" t="s">
        <v>197</v>
      </c>
      <c r="B168">
        <v>0.15164476636576599</v>
      </c>
      <c r="C168" s="5">
        <f t="shared" si="2"/>
        <v>-2.4992900574345556E-2</v>
      </c>
      <c r="D168">
        <v>3931704554.2837601</v>
      </c>
      <c r="E168">
        <v>104945875.806742</v>
      </c>
    </row>
    <row r="169" spans="1:5" x14ac:dyDescent="0.25">
      <c r="A169" t="s">
        <v>198</v>
      </c>
      <c r="B169">
        <v>0.15650316859491201</v>
      </c>
      <c r="C169" s="5">
        <f t="shared" si="2"/>
        <v>3.2038047507868539E-2</v>
      </c>
      <c r="D169">
        <v>4057668691.58079</v>
      </c>
      <c r="E169">
        <v>106347391.59841201</v>
      </c>
    </row>
    <row r="170" spans="1:5" x14ac:dyDescent="0.25">
      <c r="A170" t="s">
        <v>199</v>
      </c>
      <c r="B170">
        <v>0.17286210266382401</v>
      </c>
      <c r="C170" s="5">
        <f t="shared" si="2"/>
        <v>0.1045278138186132</v>
      </c>
      <c r="D170">
        <v>4481807929.1119804</v>
      </c>
      <c r="E170">
        <v>164704238.67739299</v>
      </c>
    </row>
    <row r="171" spans="1:5" x14ac:dyDescent="0.25">
      <c r="A171" t="s">
        <v>200</v>
      </c>
      <c r="B171">
        <v>0.15569240193401901</v>
      </c>
      <c r="C171" s="5">
        <f t="shared" si="2"/>
        <v>-9.9325997226795359E-2</v>
      </c>
      <c r="D171">
        <v>4036647887.1739602</v>
      </c>
      <c r="E171">
        <v>160515627.58868599</v>
      </c>
    </row>
    <row r="172" spans="1:5" x14ac:dyDescent="0.25">
      <c r="A172" t="s">
        <v>201</v>
      </c>
      <c r="B172">
        <v>0.150186470117813</v>
      </c>
      <c r="C172" s="5">
        <f t="shared" si="2"/>
        <v>-3.536416516034846E-2</v>
      </c>
      <c r="D172">
        <v>3893895204.5977802</v>
      </c>
      <c r="E172">
        <v>118224971.95897999</v>
      </c>
    </row>
    <row r="173" spans="1:5" x14ac:dyDescent="0.25">
      <c r="A173" t="s">
        <v>202</v>
      </c>
      <c r="B173">
        <v>0.14438698334755701</v>
      </c>
      <c r="C173" s="5">
        <f t="shared" si="2"/>
        <v>-3.8615241211186424E-2</v>
      </c>
      <c r="D173">
        <v>3743531502.0211601</v>
      </c>
      <c r="E173">
        <v>52008384.423588097</v>
      </c>
    </row>
    <row r="174" spans="1:5" x14ac:dyDescent="0.25">
      <c r="A174" t="s">
        <v>203</v>
      </c>
      <c r="B174">
        <v>0.148131516818478</v>
      </c>
      <c r="C174" s="5">
        <f t="shared" si="2"/>
        <v>2.5934010006341435E-2</v>
      </c>
      <c r="D174">
        <v>3840616285.45363</v>
      </c>
      <c r="E174">
        <v>50524949.5299391</v>
      </c>
    </row>
    <row r="175" spans="1:5" x14ac:dyDescent="0.25">
      <c r="A175" t="s">
        <v>204</v>
      </c>
      <c r="B175">
        <v>0.15621991533611401</v>
      </c>
      <c r="C175" s="5">
        <f t="shared" si="2"/>
        <v>5.4602819787146428E-2</v>
      </c>
      <c r="D175">
        <v>4050324764.3598199</v>
      </c>
      <c r="E175">
        <v>52462507.805850103</v>
      </c>
    </row>
    <row r="176" spans="1:5" x14ac:dyDescent="0.25">
      <c r="A176" t="s">
        <v>205</v>
      </c>
      <c r="B176">
        <v>0.15321778139594799</v>
      </c>
      <c r="C176" s="5">
        <f t="shared" si="2"/>
        <v>-1.9217357362579457E-2</v>
      </c>
      <c r="D176">
        <v>3972488225.9286199</v>
      </c>
      <c r="E176">
        <v>96981159.383504003</v>
      </c>
    </row>
    <row r="177" spans="1:5" x14ac:dyDescent="0.25">
      <c r="A177" t="s">
        <v>206</v>
      </c>
      <c r="B177">
        <v>0.15645861653266099</v>
      </c>
      <c r="C177" s="5">
        <f t="shared" si="2"/>
        <v>2.1151821330306131E-2</v>
      </c>
      <c r="D177">
        <v>4056513587.1202002</v>
      </c>
      <c r="E177">
        <v>59572017.201803997</v>
      </c>
    </row>
    <row r="178" spans="1:5" x14ac:dyDescent="0.25">
      <c r="A178" t="s">
        <v>207</v>
      </c>
      <c r="B178">
        <v>0.165810902245148</v>
      </c>
      <c r="C178" s="5">
        <f t="shared" si="2"/>
        <v>5.9774820458895483E-2</v>
      </c>
      <c r="D178">
        <v>4298990958.4793701</v>
      </c>
      <c r="E178">
        <v>99285298.202835202</v>
      </c>
    </row>
    <row r="179" spans="1:5" x14ac:dyDescent="0.25">
      <c r="A179" t="s">
        <v>208</v>
      </c>
      <c r="B179">
        <v>0.21285054905675499</v>
      </c>
      <c r="C179" s="5">
        <f t="shared" si="2"/>
        <v>0.28369453500747399</v>
      </c>
      <c r="D179">
        <v>5518591199.4465303</v>
      </c>
      <c r="E179">
        <v>508525215.264557</v>
      </c>
    </row>
    <row r="180" spans="1:5" x14ac:dyDescent="0.25">
      <c r="A180" t="s">
        <v>209</v>
      </c>
      <c r="B180">
        <v>0.19893245843276999</v>
      </c>
      <c r="C180" s="5">
        <f t="shared" si="2"/>
        <v>-6.5389028525709048E-2</v>
      </c>
      <c r="D180">
        <v>5157735882.0841904</v>
      </c>
      <c r="E180">
        <v>229098350.794323</v>
      </c>
    </row>
    <row r="181" spans="1:5" x14ac:dyDescent="0.25">
      <c r="A181" t="s">
        <v>210</v>
      </c>
      <c r="B181">
        <v>0.19954657735278</v>
      </c>
      <c r="C181" s="5">
        <f t="shared" si="2"/>
        <v>3.0870724910765368E-3</v>
      </c>
      <c r="D181">
        <v>5173658186.6420202</v>
      </c>
      <c r="E181">
        <v>115064004.01824901</v>
      </c>
    </row>
    <row r="182" spans="1:5" x14ac:dyDescent="0.25">
      <c r="A182" t="s">
        <v>211</v>
      </c>
      <c r="B182">
        <v>0.221055385513759</v>
      </c>
      <c r="C182" s="5">
        <f t="shared" si="2"/>
        <v>0.10778840933439526</v>
      </c>
      <c r="D182">
        <v>5731318573.02003</v>
      </c>
      <c r="E182">
        <v>172115119.08966401</v>
      </c>
    </row>
    <row r="183" spans="1:5" x14ac:dyDescent="0.25">
      <c r="A183" t="s">
        <v>212</v>
      </c>
      <c r="B183">
        <v>0.25620473240326003</v>
      </c>
      <c r="C183" s="5">
        <f t="shared" si="2"/>
        <v>0.15900696926161628</v>
      </c>
      <c r="D183">
        <v>6642638169.1887302</v>
      </c>
      <c r="E183">
        <v>698342753.85366094</v>
      </c>
    </row>
    <row r="184" spans="1:5" x14ac:dyDescent="0.25">
      <c r="A184" t="s">
        <v>213</v>
      </c>
      <c r="B184">
        <v>0.243462641275941</v>
      </c>
      <c r="C184" s="5">
        <f t="shared" si="2"/>
        <v>-4.9734019382839834E-2</v>
      </c>
      <c r="D184">
        <v>6312273073.7291203</v>
      </c>
      <c r="E184">
        <v>534960843.52733499</v>
      </c>
    </row>
    <row r="185" spans="1:5" x14ac:dyDescent="0.25">
      <c r="A185" t="s">
        <v>214</v>
      </c>
      <c r="B185">
        <v>0.26051755691255801</v>
      </c>
      <c r="C185" s="5">
        <f t="shared" si="2"/>
        <v>7.0051468871098477E-2</v>
      </c>
      <c r="D185">
        <v>6754457074.4593296</v>
      </c>
      <c r="E185">
        <v>186344034.704418</v>
      </c>
    </row>
    <row r="186" spans="1:5" x14ac:dyDescent="0.25">
      <c r="A186" t="s">
        <v>215</v>
      </c>
      <c r="B186">
        <v>0.27251094301192502</v>
      </c>
      <c r="C186" s="5">
        <f t="shared" si="2"/>
        <v>4.6036767124269407E-2</v>
      </c>
      <c r="D186">
        <v>7065410441.8470898</v>
      </c>
      <c r="E186">
        <v>243857941.78765699</v>
      </c>
    </row>
    <row r="187" spans="1:5" x14ac:dyDescent="0.25">
      <c r="A187" t="s">
        <v>216</v>
      </c>
      <c r="B187">
        <v>0.29437876798311302</v>
      </c>
      <c r="C187" s="5">
        <f t="shared" si="2"/>
        <v>8.0245676483645223E-2</v>
      </c>
      <c r="D187">
        <v>7632379082.3877001</v>
      </c>
      <c r="E187">
        <v>325740024.75244701</v>
      </c>
    </row>
    <row r="188" spans="1:5" x14ac:dyDescent="0.25">
      <c r="A188" t="s">
        <v>217</v>
      </c>
      <c r="B188">
        <v>0.29141968404209201</v>
      </c>
      <c r="C188" s="5">
        <f t="shared" si="2"/>
        <v>-1.0051961156351985E-2</v>
      </c>
      <c r="D188">
        <v>7555658704.3209896</v>
      </c>
      <c r="E188">
        <v>300403083.77700102</v>
      </c>
    </row>
    <row r="189" spans="1:5" x14ac:dyDescent="0.25">
      <c r="A189" t="s">
        <v>218</v>
      </c>
      <c r="B189">
        <v>0.28420780737845402</v>
      </c>
      <c r="C189" s="5">
        <f t="shared" si="2"/>
        <v>-2.4747390305303818E-2</v>
      </c>
      <c r="D189">
        <v>7368675869.3514996</v>
      </c>
      <c r="E189">
        <v>162687316.44505101</v>
      </c>
    </row>
    <row r="190" spans="1:5" x14ac:dyDescent="0.25">
      <c r="A190" t="s">
        <v>219</v>
      </c>
      <c r="B190">
        <v>0.287600513293013</v>
      </c>
      <c r="C190" s="5">
        <f t="shared" si="2"/>
        <v>1.1937412789090773E-2</v>
      </c>
      <c r="D190">
        <v>7456638794.9129601</v>
      </c>
      <c r="E190">
        <v>131169435.71201199</v>
      </c>
    </row>
    <row r="191" spans="1:5" x14ac:dyDescent="0.25">
      <c r="A191" t="s">
        <v>220</v>
      </c>
      <c r="B191">
        <v>0.31328580442613102</v>
      </c>
      <c r="C191" s="5">
        <f t="shared" si="2"/>
        <v>8.9308919650464391E-2</v>
      </c>
      <c r="D191">
        <v>8122583149.9103699</v>
      </c>
      <c r="E191">
        <v>371680030.034033</v>
      </c>
    </row>
    <row r="192" spans="1:5" x14ac:dyDescent="0.25">
      <c r="A192" t="s">
        <v>221</v>
      </c>
      <c r="B192">
        <v>0.26982232192390698</v>
      </c>
      <c r="C192" s="5">
        <f t="shared" si="2"/>
        <v>-0.13873428635504037</v>
      </c>
      <c r="D192">
        <v>6995702373.2481003</v>
      </c>
      <c r="E192">
        <v>355475589.75443101</v>
      </c>
    </row>
    <row r="193" spans="1:5" x14ac:dyDescent="0.25">
      <c r="A193" t="s">
        <v>222</v>
      </c>
      <c r="B193">
        <v>0.29353815622000701</v>
      </c>
      <c r="C193" s="5">
        <f t="shared" si="2"/>
        <v>8.7894263628745195E-2</v>
      </c>
      <c r="D193">
        <v>7610584481.9105902</v>
      </c>
      <c r="E193">
        <v>231323098.71812001</v>
      </c>
    </row>
    <row r="194" spans="1:5" x14ac:dyDescent="0.25">
      <c r="A194" t="s">
        <v>223</v>
      </c>
      <c r="B194">
        <v>0.289303499136223</v>
      </c>
      <c r="C194" s="5">
        <f t="shared" si="2"/>
        <v>-1.4426257691044886E-2</v>
      </c>
      <c r="D194">
        <v>7500792228.9950895</v>
      </c>
      <c r="E194">
        <v>204407851.12413701</v>
      </c>
    </row>
    <row r="195" spans="1:5" x14ac:dyDescent="0.25">
      <c r="A195" t="s">
        <v>224</v>
      </c>
      <c r="B195">
        <v>0.35582330699036702</v>
      </c>
      <c r="C195" s="5">
        <f t="shared" si="2"/>
        <v>0.22993087899991882</v>
      </c>
      <c r="D195">
        <v>9225455979.4036694</v>
      </c>
      <c r="E195">
        <v>675280301.49596</v>
      </c>
    </row>
    <row r="196" spans="1:5" x14ac:dyDescent="0.25">
      <c r="A196" t="s">
        <v>225</v>
      </c>
      <c r="B196">
        <v>0.36305017713798299</v>
      </c>
      <c r="C196" s="5">
        <f t="shared" ref="C196:C259" si="3">B196/B195-1</f>
        <v>2.0310277617119787E-2</v>
      </c>
      <c r="D196">
        <v>9412827551.4898891</v>
      </c>
      <c r="E196">
        <v>663808565.60620904</v>
      </c>
    </row>
    <row r="197" spans="1:5" x14ac:dyDescent="0.25">
      <c r="A197" t="s">
        <v>226</v>
      </c>
      <c r="B197">
        <v>0.34119557382647298</v>
      </c>
      <c r="C197" s="5">
        <f t="shared" si="3"/>
        <v>-6.0197197764219279E-2</v>
      </c>
      <c r="D197">
        <v>8846201709.8523693</v>
      </c>
      <c r="E197">
        <v>306764418.34950602</v>
      </c>
    </row>
    <row r="198" spans="1:5" x14ac:dyDescent="0.25">
      <c r="A198" t="s">
        <v>227</v>
      </c>
      <c r="B198">
        <v>0.35634536482349899</v>
      </c>
      <c r="C198" s="5">
        <f t="shared" si="3"/>
        <v>4.4402073646860885E-2</v>
      </c>
      <c r="D198">
        <v>9238991409.6682091</v>
      </c>
      <c r="E198">
        <v>380935416.10300398</v>
      </c>
    </row>
    <row r="199" spans="1:5" x14ac:dyDescent="0.25">
      <c r="A199" t="s">
        <v>228</v>
      </c>
      <c r="B199">
        <v>0.369464480000675</v>
      </c>
      <c r="C199" s="5">
        <f t="shared" si="3"/>
        <v>3.6815731232182625E-2</v>
      </c>
      <c r="D199">
        <v>9579131634.26301</v>
      </c>
      <c r="E199">
        <v>272233287.725492</v>
      </c>
    </row>
    <row r="200" spans="1:5" x14ac:dyDescent="0.25">
      <c r="A200" t="s">
        <v>229</v>
      </c>
      <c r="B200">
        <v>0.37194974818042298</v>
      </c>
      <c r="C200" s="5">
        <f t="shared" si="3"/>
        <v>6.7266768912221941E-3</v>
      </c>
      <c r="D200">
        <v>9643567357.6651592</v>
      </c>
      <c r="E200">
        <v>165672728.618682</v>
      </c>
    </row>
    <row r="201" spans="1:5" x14ac:dyDescent="0.25">
      <c r="A201" t="s">
        <v>230</v>
      </c>
      <c r="B201">
        <v>0.358782142443272</v>
      </c>
      <c r="C201" s="5">
        <f t="shared" si="3"/>
        <v>-3.540157185632431E-2</v>
      </c>
      <c r="D201">
        <v>9302169914.9014893</v>
      </c>
      <c r="E201">
        <v>177767683.040176</v>
      </c>
    </row>
    <row r="202" spans="1:5" x14ac:dyDescent="0.25">
      <c r="A202" t="s">
        <v>231</v>
      </c>
      <c r="B202">
        <v>0.36531319109779198</v>
      </c>
      <c r="C202" s="5">
        <f t="shared" si="3"/>
        <v>1.820338272703359E-2</v>
      </c>
      <c r="D202">
        <v>9471500874.0543404</v>
      </c>
      <c r="E202">
        <v>143983962.49634799</v>
      </c>
    </row>
    <row r="203" spans="1:5" x14ac:dyDescent="0.25">
      <c r="A203" t="s">
        <v>232</v>
      </c>
      <c r="B203">
        <v>0.349031390314959</v>
      </c>
      <c r="C203" s="5">
        <f t="shared" si="3"/>
        <v>-4.4569430230277263E-2</v>
      </c>
      <c r="D203">
        <v>9049361476.6721592</v>
      </c>
      <c r="E203">
        <v>154299592.84205499</v>
      </c>
    </row>
    <row r="204" spans="1:5" x14ac:dyDescent="0.25">
      <c r="A204" t="s">
        <v>233</v>
      </c>
      <c r="B204">
        <v>0.334283331002585</v>
      </c>
      <c r="C204" s="5">
        <f t="shared" si="3"/>
        <v>-4.2254249106550623E-2</v>
      </c>
      <c r="D204">
        <v>8666987502.5816307</v>
      </c>
      <c r="E204">
        <v>178306891.70142001</v>
      </c>
    </row>
    <row r="205" spans="1:5" x14ac:dyDescent="0.25">
      <c r="A205" t="s">
        <v>234</v>
      </c>
      <c r="B205">
        <v>0.32181793911555201</v>
      </c>
      <c r="C205" s="5">
        <f t="shared" si="3"/>
        <v>-3.7289899707672269E-2</v>
      </c>
      <c r="D205">
        <v>8343796407.8427296</v>
      </c>
      <c r="E205">
        <v>85389551.732480198</v>
      </c>
    </row>
    <row r="206" spans="1:5" x14ac:dyDescent="0.25">
      <c r="A206" t="s">
        <v>235</v>
      </c>
      <c r="B206">
        <v>0.31599425659577701</v>
      </c>
      <c r="C206" s="5">
        <f t="shared" si="3"/>
        <v>-1.8096202268214623E-2</v>
      </c>
      <c r="D206">
        <v>8192805380.3615799</v>
      </c>
      <c r="E206">
        <v>97252505.4796554</v>
      </c>
    </row>
    <row r="207" spans="1:5" x14ac:dyDescent="0.25">
      <c r="A207" t="s">
        <v>236</v>
      </c>
      <c r="B207">
        <v>0.29529566918002298</v>
      </c>
      <c r="C207" s="5">
        <f t="shared" si="3"/>
        <v>-6.5503049450141959E-2</v>
      </c>
      <c r="D207">
        <v>7656151644.3963699</v>
      </c>
      <c r="E207">
        <v>123637937.874708</v>
      </c>
    </row>
    <row r="208" spans="1:5" x14ac:dyDescent="0.25">
      <c r="A208" t="s">
        <v>237</v>
      </c>
      <c r="B208">
        <v>0.26128109940340699</v>
      </c>
      <c r="C208" s="5">
        <f t="shared" si="3"/>
        <v>-0.11518817689086891</v>
      </c>
      <c r="D208">
        <v>6774253494.4783401</v>
      </c>
      <c r="E208">
        <v>350849593.74475902</v>
      </c>
    </row>
    <row r="209" spans="1:5" x14ac:dyDescent="0.25">
      <c r="A209" t="s">
        <v>238</v>
      </c>
      <c r="B209">
        <v>0.27120094460262401</v>
      </c>
      <c r="C209" s="5">
        <f t="shared" si="3"/>
        <v>3.7966179803542444E-2</v>
      </c>
      <c r="D209">
        <v>7031446020.6844797</v>
      </c>
      <c r="E209">
        <v>266175944.388484</v>
      </c>
    </row>
    <row r="210" spans="1:5" x14ac:dyDescent="0.25">
      <c r="A210" t="s">
        <v>239</v>
      </c>
      <c r="B210">
        <v>0.28557429199063999</v>
      </c>
      <c r="C210" s="5">
        <f t="shared" si="3"/>
        <v>5.2998883942223962E-2</v>
      </c>
      <c r="D210">
        <v>7404104812.2807398</v>
      </c>
      <c r="E210">
        <v>187036760.62811199</v>
      </c>
    </row>
    <row r="211" spans="1:5" x14ac:dyDescent="0.25">
      <c r="A211" t="s">
        <v>240</v>
      </c>
      <c r="B211">
        <v>0.273944543805482</v>
      </c>
      <c r="C211" s="5">
        <f t="shared" si="3"/>
        <v>-4.0724072549006562E-2</v>
      </c>
      <c r="D211">
        <v>7102579510.7449799</v>
      </c>
      <c r="E211">
        <v>164701733.27505201</v>
      </c>
    </row>
    <row r="212" spans="1:5" x14ac:dyDescent="0.25">
      <c r="A212" t="s">
        <v>241</v>
      </c>
      <c r="B212">
        <v>0.259170403273078</v>
      </c>
      <c r="C212" s="5">
        <f t="shared" si="3"/>
        <v>-5.3931136306531346E-2</v>
      </c>
      <c r="D212">
        <v>6719529327.0229998</v>
      </c>
      <c r="E212">
        <v>98957494.770721406</v>
      </c>
    </row>
    <row r="213" spans="1:5" x14ac:dyDescent="0.25">
      <c r="A213" t="s">
        <v>242</v>
      </c>
      <c r="B213">
        <v>0.25596444195201101</v>
      </c>
      <c r="C213" s="5">
        <f t="shared" si="3"/>
        <v>-1.2370090413792334E-2</v>
      </c>
      <c r="D213">
        <v>6636408141.70959</v>
      </c>
      <c r="E213">
        <v>113660462.129255</v>
      </c>
    </row>
    <row r="214" spans="1:5" x14ac:dyDescent="0.25">
      <c r="A214" t="s">
        <v>243</v>
      </c>
      <c r="B214">
        <v>0.24351748531372</v>
      </c>
      <c r="C214" s="5">
        <f t="shared" si="3"/>
        <v>-4.8627678686028575E-2</v>
      </c>
      <c r="D214">
        <v>6313695018.96521</v>
      </c>
      <c r="E214">
        <v>84378691.164257199</v>
      </c>
    </row>
    <row r="215" spans="1:5" x14ac:dyDescent="0.25">
      <c r="A215" t="s">
        <v>244</v>
      </c>
      <c r="B215">
        <v>0.24225753121621799</v>
      </c>
      <c r="C215" s="5">
        <f t="shared" si="3"/>
        <v>-5.1739779419898158E-3</v>
      </c>
      <c r="D215">
        <v>6281028100.2046204</v>
      </c>
      <c r="E215">
        <v>54721647.130516902</v>
      </c>
    </row>
    <row r="216" spans="1:5" x14ac:dyDescent="0.25">
      <c r="A216" t="s">
        <v>245</v>
      </c>
      <c r="B216">
        <v>0.23978137591701201</v>
      </c>
      <c r="C216" s="5">
        <f t="shared" si="3"/>
        <v>-1.0221169541251407E-2</v>
      </c>
      <c r="D216">
        <v>6216828647.0990696</v>
      </c>
      <c r="E216">
        <v>43595675.7642828</v>
      </c>
    </row>
    <row r="217" spans="1:5" x14ac:dyDescent="0.25">
      <c r="A217" t="s">
        <v>246</v>
      </c>
      <c r="B217">
        <v>0.25443190906714702</v>
      </c>
      <c r="C217" s="5">
        <f t="shared" si="3"/>
        <v>6.109954575957377E-2</v>
      </c>
      <c r="D217">
        <v>6596674053.5019302</v>
      </c>
      <c r="E217">
        <v>107667684.07001799</v>
      </c>
    </row>
    <row r="218" spans="1:5" x14ac:dyDescent="0.25">
      <c r="A218" t="s">
        <v>247</v>
      </c>
      <c r="B218">
        <v>0.24806124426766099</v>
      </c>
      <c r="C218" s="5">
        <f t="shared" si="3"/>
        <v>-2.5038780799324756E-2</v>
      </c>
      <c r="D218">
        <v>6431501377.8717003</v>
      </c>
      <c r="E218">
        <v>87861811.373016998</v>
      </c>
    </row>
    <row r="219" spans="1:5" x14ac:dyDescent="0.25">
      <c r="A219" t="s">
        <v>248</v>
      </c>
      <c r="B219">
        <v>0.22445222963328601</v>
      </c>
      <c r="C219" s="5">
        <f t="shared" si="3"/>
        <v>-9.5174136145590671E-2</v>
      </c>
      <c r="D219">
        <v>5819388790.1135998</v>
      </c>
      <c r="E219">
        <v>80490595.039196298</v>
      </c>
    </row>
    <row r="220" spans="1:5" x14ac:dyDescent="0.25">
      <c r="A220" t="s">
        <v>249</v>
      </c>
      <c r="B220">
        <v>0.20075895439492</v>
      </c>
      <c r="C220" s="5">
        <f t="shared" si="3"/>
        <v>-0.10556043607620424</v>
      </c>
      <c r="D220">
        <v>5205091571.7322397</v>
      </c>
      <c r="E220">
        <v>83690006.165998802</v>
      </c>
    </row>
    <row r="221" spans="1:5" x14ac:dyDescent="0.25">
      <c r="A221" t="s">
        <v>250</v>
      </c>
      <c r="B221">
        <v>0.208106292235199</v>
      </c>
      <c r="C221" s="5">
        <f t="shared" si="3"/>
        <v>3.6597808861993819E-2</v>
      </c>
      <c r="D221">
        <v>5395586518.18365</v>
      </c>
      <c r="E221">
        <v>136489355.07205901</v>
      </c>
    </row>
    <row r="222" spans="1:5" x14ac:dyDescent="0.25">
      <c r="A222" t="s">
        <v>251</v>
      </c>
      <c r="B222">
        <v>0.20086776110111601</v>
      </c>
      <c r="C222" s="5">
        <f t="shared" si="3"/>
        <v>-3.4782855704824645E-2</v>
      </c>
      <c r="D222">
        <v>5207912610.8787804</v>
      </c>
      <c r="E222">
        <v>85060735.565012604</v>
      </c>
    </row>
    <row r="223" spans="1:5" x14ac:dyDescent="0.25">
      <c r="A223" t="s">
        <v>252</v>
      </c>
      <c r="B223">
        <v>0.19642005538818599</v>
      </c>
      <c r="C223" s="5">
        <f t="shared" si="3"/>
        <v>-2.2142456751390038E-2</v>
      </c>
      <c r="D223">
        <v>5092596631.1273804</v>
      </c>
      <c r="E223">
        <v>64213336.976586796</v>
      </c>
    </row>
    <row r="224" spans="1:5" x14ac:dyDescent="0.25">
      <c r="A224" t="s">
        <v>253</v>
      </c>
      <c r="B224">
        <v>0.19342414264352001</v>
      </c>
      <c r="C224" s="5">
        <f t="shared" si="3"/>
        <v>-1.525258069368296E-2</v>
      </c>
      <c r="D224">
        <v>5014921390.0707302</v>
      </c>
      <c r="E224">
        <v>62696530.774957098</v>
      </c>
    </row>
    <row r="225" spans="1:5" x14ac:dyDescent="0.25">
      <c r="A225" t="s">
        <v>254</v>
      </c>
      <c r="B225">
        <v>0.174819817947647</v>
      </c>
      <c r="C225" s="5">
        <f t="shared" si="3"/>
        <v>-9.6184087682170571E-2</v>
      </c>
      <c r="D225">
        <v>4532565751.3689604</v>
      </c>
      <c r="E225">
        <v>96436638.142915398</v>
      </c>
    </row>
    <row r="226" spans="1:5" x14ac:dyDescent="0.25">
      <c r="A226" t="s">
        <v>255</v>
      </c>
      <c r="B226">
        <v>0.203218528750504</v>
      </c>
      <c r="C226" s="5">
        <f t="shared" si="3"/>
        <v>0.16244560334321778</v>
      </c>
      <c r="D226">
        <v>5268861129.5429001</v>
      </c>
      <c r="E226">
        <v>195367772.22267899</v>
      </c>
    </row>
    <row r="227" spans="1:5" x14ac:dyDescent="0.25">
      <c r="A227" t="s">
        <v>256</v>
      </c>
      <c r="B227">
        <v>0.212016765420183</v>
      </c>
      <c r="C227" s="5">
        <f t="shared" si="3"/>
        <v>4.3294461010889407E-2</v>
      </c>
      <c r="D227">
        <v>5496973632.2876902</v>
      </c>
      <c r="E227">
        <v>231891894.569433</v>
      </c>
    </row>
    <row r="228" spans="1:5" x14ac:dyDescent="0.25">
      <c r="A228" t="s">
        <v>257</v>
      </c>
      <c r="B228">
        <v>0.22435581157117401</v>
      </c>
      <c r="C228" s="5">
        <f t="shared" si="3"/>
        <v>5.8198445422639189E-2</v>
      </c>
      <c r="D228">
        <v>5816888952.2160797</v>
      </c>
      <c r="E228">
        <v>210587950.484577</v>
      </c>
    </row>
    <row r="229" spans="1:5" x14ac:dyDescent="0.25">
      <c r="A229" t="s">
        <v>258</v>
      </c>
      <c r="B229">
        <v>0.22200946499730201</v>
      </c>
      <c r="C229" s="5">
        <f t="shared" si="3"/>
        <v>-1.0458149300615061E-2</v>
      </c>
      <c r="D229">
        <v>5756055059.0886898</v>
      </c>
      <c r="E229">
        <v>133880171.88784499</v>
      </c>
    </row>
    <row r="230" spans="1:5" x14ac:dyDescent="0.25">
      <c r="A230" t="s">
        <v>259</v>
      </c>
      <c r="B230">
        <v>0.22660877800201601</v>
      </c>
      <c r="C230" s="5">
        <f t="shared" si="3"/>
        <v>2.0716742886479622E-2</v>
      </c>
      <c r="D230">
        <v>5875301771.78825</v>
      </c>
      <c r="E230">
        <v>119984983.164858</v>
      </c>
    </row>
    <row r="231" spans="1:5" x14ac:dyDescent="0.25">
      <c r="A231" t="s">
        <v>260</v>
      </c>
      <c r="B231">
        <v>0.22643984392045499</v>
      </c>
      <c r="C231" s="5">
        <f t="shared" si="3"/>
        <v>-7.4548780965366657E-4</v>
      </c>
      <c r="D231">
        <v>5870921805.9393501</v>
      </c>
      <c r="E231">
        <v>119438315.489208</v>
      </c>
    </row>
    <row r="232" spans="1:5" x14ac:dyDescent="0.25">
      <c r="A232" t="s">
        <v>261</v>
      </c>
      <c r="B232">
        <v>0.21371745968108399</v>
      </c>
      <c r="C232" s="5">
        <f t="shared" si="3"/>
        <v>-5.6184388838565802E-2</v>
      </c>
      <c r="D232">
        <v>5541067652.3536396</v>
      </c>
      <c r="E232">
        <v>118932865.68915901</v>
      </c>
    </row>
    <row r="233" spans="1:5" x14ac:dyDescent="0.25">
      <c r="A233" t="s">
        <v>262</v>
      </c>
      <c r="B233">
        <v>0.21933920134469001</v>
      </c>
      <c r="C233" s="5">
        <f t="shared" si="3"/>
        <v>2.6304550278648087E-2</v>
      </c>
      <c r="D233">
        <v>5686822945.0123596</v>
      </c>
      <c r="E233">
        <v>126118003.313798</v>
      </c>
    </row>
    <row r="234" spans="1:5" x14ac:dyDescent="0.25">
      <c r="A234" t="s">
        <v>263</v>
      </c>
      <c r="B234">
        <v>0.21524780377011499</v>
      </c>
      <c r="C234" s="5">
        <f t="shared" si="3"/>
        <v>-1.8653289286603258E-2</v>
      </c>
      <c r="D234">
        <v>5580744991.4973602</v>
      </c>
      <c r="E234">
        <v>87531548.708106294</v>
      </c>
    </row>
    <row r="235" spans="1:5" x14ac:dyDescent="0.25">
      <c r="A235" t="s">
        <v>264</v>
      </c>
      <c r="B235">
        <v>0.20922544727030901</v>
      </c>
      <c r="C235" s="5">
        <f t="shared" si="3"/>
        <v>-2.7978712880331491E-2</v>
      </c>
      <c r="D235">
        <v>5424602929.72192</v>
      </c>
      <c r="E235">
        <v>78553211.883069202</v>
      </c>
    </row>
    <row r="236" spans="1:5" x14ac:dyDescent="0.25">
      <c r="A236" t="s">
        <v>265</v>
      </c>
      <c r="B236">
        <v>0.20434564691054799</v>
      </c>
      <c r="C236" s="5">
        <f t="shared" si="3"/>
        <v>-2.3323168493250002E-2</v>
      </c>
      <c r="D236">
        <v>5298084001.5830402</v>
      </c>
      <c r="E236">
        <v>72235000.983175203</v>
      </c>
    </row>
    <row r="237" spans="1:5" x14ac:dyDescent="0.25">
      <c r="A237" t="s">
        <v>266</v>
      </c>
      <c r="B237">
        <v>0.20010454072204101</v>
      </c>
      <c r="C237" s="5">
        <f t="shared" si="3"/>
        <v>-2.0754570760998514E-2</v>
      </c>
      <c r="D237">
        <v>5188124542.2744503</v>
      </c>
      <c r="E237">
        <v>51331885.073886797</v>
      </c>
    </row>
    <row r="238" spans="1:5" x14ac:dyDescent="0.25">
      <c r="A238" t="s">
        <v>267</v>
      </c>
      <c r="B238">
        <v>0.177005564632299</v>
      </c>
      <c r="C238" s="5">
        <f t="shared" si="3"/>
        <v>-0.11543454239665696</v>
      </c>
      <c r="D238">
        <v>4589235759.8401403</v>
      </c>
      <c r="E238">
        <v>140182776.98293701</v>
      </c>
    </row>
    <row r="239" spans="1:5" x14ac:dyDescent="0.25">
      <c r="A239" t="s">
        <v>268</v>
      </c>
      <c r="B239">
        <v>0.181012541178762</v>
      </c>
      <c r="C239" s="5">
        <f t="shared" si="3"/>
        <v>2.263757387959453E-2</v>
      </c>
      <c r="D239">
        <v>4693124923.4043999</v>
      </c>
      <c r="E239">
        <v>94615123.954322398</v>
      </c>
    </row>
    <row r="240" spans="1:5" x14ac:dyDescent="0.25">
      <c r="A240" t="s">
        <v>269</v>
      </c>
      <c r="B240">
        <v>0.16616143025041699</v>
      </c>
      <c r="C240" s="5">
        <f t="shared" si="3"/>
        <v>-8.2044651887841047E-2</v>
      </c>
      <c r="D240">
        <v>4308079122.7975397</v>
      </c>
      <c r="E240">
        <v>85228066.319904402</v>
      </c>
    </row>
    <row r="241" spans="1:5" x14ac:dyDescent="0.25">
      <c r="A241" t="s">
        <v>270</v>
      </c>
      <c r="B241">
        <v>0.16060084005199099</v>
      </c>
      <c r="C241" s="5">
        <f t="shared" si="3"/>
        <v>-3.346498757290306E-2</v>
      </c>
      <c r="D241">
        <v>4163909308.4900398</v>
      </c>
      <c r="E241">
        <v>107052294.64626101</v>
      </c>
    </row>
    <row r="242" spans="1:5" x14ac:dyDescent="0.25">
      <c r="A242" t="s">
        <v>271</v>
      </c>
      <c r="B242">
        <v>0.17171258748705101</v>
      </c>
      <c r="C242" s="5">
        <f t="shared" si="3"/>
        <v>6.9188600952914348E-2</v>
      </c>
      <c r="D242">
        <v>4452004368.0392904</v>
      </c>
      <c r="E242">
        <v>204772329.27416301</v>
      </c>
    </row>
    <row r="243" spans="1:5" x14ac:dyDescent="0.25">
      <c r="A243" t="s">
        <v>272</v>
      </c>
      <c r="B243">
        <v>0.16215431458382301</v>
      </c>
      <c r="C243" s="5">
        <f t="shared" si="3"/>
        <v>-5.5664369415834414E-2</v>
      </c>
      <c r="D243">
        <v>4204186352.2558298</v>
      </c>
      <c r="E243">
        <v>76574765.246101096</v>
      </c>
    </row>
    <row r="244" spans="1:5" x14ac:dyDescent="0.25">
      <c r="A244" t="s">
        <v>273</v>
      </c>
      <c r="B244">
        <v>0.16235552042519599</v>
      </c>
      <c r="C244" s="5">
        <f t="shared" si="3"/>
        <v>1.240829403086785E-3</v>
      </c>
      <c r="D244">
        <v>4209403030.29777</v>
      </c>
      <c r="E244">
        <v>43419330.5764523</v>
      </c>
    </row>
    <row r="245" spans="1:5" x14ac:dyDescent="0.25">
      <c r="A245" t="s">
        <v>274</v>
      </c>
      <c r="B245">
        <v>0.160215050267077</v>
      </c>
      <c r="C245" s="5">
        <f t="shared" si="3"/>
        <v>-1.3183845874247258E-2</v>
      </c>
      <c r="D245">
        <v>4153906909.5237298</v>
      </c>
      <c r="E245">
        <v>36508695.438514903</v>
      </c>
    </row>
    <row r="246" spans="1:5" x14ac:dyDescent="0.25">
      <c r="A246" t="s">
        <v>275</v>
      </c>
      <c r="B246">
        <v>0.16349239166061</v>
      </c>
      <c r="C246" s="5">
        <f t="shared" si="3"/>
        <v>2.0455889681211037E-2</v>
      </c>
      <c r="D246">
        <v>5086654525.2785597</v>
      </c>
      <c r="E246">
        <v>58000555.614274301</v>
      </c>
    </row>
    <row r="247" spans="1:5" x14ac:dyDescent="0.25">
      <c r="A247" t="s">
        <v>276</v>
      </c>
      <c r="B247">
        <v>0.16664532404226401</v>
      </c>
      <c r="C247" s="5">
        <f t="shared" si="3"/>
        <v>1.9284887508399295E-2</v>
      </c>
      <c r="D247">
        <v>5184750085.5926504</v>
      </c>
      <c r="E247">
        <v>73982112.716449499</v>
      </c>
    </row>
    <row r="248" spans="1:5" x14ac:dyDescent="0.25">
      <c r="A248" t="s">
        <v>277</v>
      </c>
      <c r="B248">
        <v>0.16166876317361101</v>
      </c>
      <c r="C248" s="5">
        <f t="shared" si="3"/>
        <v>-2.9863189364922493E-2</v>
      </c>
      <c r="D248">
        <v>5029916911.9768105</v>
      </c>
      <c r="E248">
        <v>85641307.727286905</v>
      </c>
    </row>
    <row r="249" spans="1:5" x14ac:dyDescent="0.25">
      <c r="A249" t="s">
        <v>278</v>
      </c>
      <c r="B249">
        <v>0.158308721387142</v>
      </c>
      <c r="C249" s="5">
        <f t="shared" si="3"/>
        <v>-2.0783494105542033E-2</v>
      </c>
      <c r="D249">
        <v>4925377663.4853497</v>
      </c>
      <c r="E249">
        <v>42401057.602429599</v>
      </c>
    </row>
    <row r="250" spans="1:5" x14ac:dyDescent="0.25">
      <c r="A250" t="s">
        <v>279</v>
      </c>
      <c r="B250">
        <v>0.140484883901312</v>
      </c>
      <c r="C250" s="5">
        <f t="shared" si="3"/>
        <v>-0.11258910646016795</v>
      </c>
      <c r="D250">
        <v>4370833793.3746796</v>
      </c>
      <c r="E250">
        <v>81070695.977591798</v>
      </c>
    </row>
    <row r="251" spans="1:5" x14ac:dyDescent="0.25">
      <c r="A251" t="s">
        <v>280</v>
      </c>
      <c r="B251">
        <v>0.138783158147184</v>
      </c>
      <c r="C251" s="5">
        <f t="shared" si="3"/>
        <v>-1.2113230312546852E-2</v>
      </c>
      <c r="D251">
        <v>4317888876.9776602</v>
      </c>
      <c r="E251">
        <v>40640076.434753403</v>
      </c>
    </row>
    <row r="252" spans="1:5" x14ac:dyDescent="0.25">
      <c r="A252" t="s">
        <v>281</v>
      </c>
      <c r="B252">
        <v>0.132135359680811</v>
      </c>
      <c r="C252" s="5">
        <f t="shared" si="3"/>
        <v>-4.7900613843380069E-2</v>
      </c>
      <c r="D252">
        <v>4111059349.2629399</v>
      </c>
      <c r="E252">
        <v>76993945.577951297</v>
      </c>
    </row>
    <row r="253" spans="1:5" x14ac:dyDescent="0.25">
      <c r="A253" t="s">
        <v>282</v>
      </c>
      <c r="B253">
        <v>0.135157290958415</v>
      </c>
      <c r="C253" s="5">
        <f t="shared" si="3"/>
        <v>2.2869966713708223E-2</v>
      </c>
      <c r="D253">
        <v>4205079139.7386599</v>
      </c>
      <c r="E253">
        <v>60914268.918403201</v>
      </c>
    </row>
    <row r="254" spans="1:5" x14ac:dyDescent="0.25">
      <c r="A254" t="s">
        <v>283</v>
      </c>
      <c r="B254">
        <v>0.12605289473877801</v>
      </c>
      <c r="C254" s="5">
        <f t="shared" si="3"/>
        <v>-6.7361487901072326E-2</v>
      </c>
      <c r="D254">
        <v>3921818752.1440902</v>
      </c>
      <c r="E254">
        <v>33825704.583284996</v>
      </c>
    </row>
    <row r="255" spans="1:5" x14ac:dyDescent="0.25">
      <c r="A255" t="s">
        <v>284</v>
      </c>
      <c r="B255">
        <v>0.127005582244651</v>
      </c>
      <c r="C255" s="5">
        <f t="shared" si="3"/>
        <v>7.5578391741599749E-3</v>
      </c>
      <c r="D255">
        <v>3951459227.5430002</v>
      </c>
      <c r="E255">
        <v>40143616.641351297</v>
      </c>
    </row>
    <row r="256" spans="1:5" x14ac:dyDescent="0.25">
      <c r="A256" t="s">
        <v>285</v>
      </c>
      <c r="B256">
        <v>0.119515125942629</v>
      </c>
      <c r="C256" s="5">
        <f t="shared" si="3"/>
        <v>-5.8977378550126414E-2</v>
      </c>
      <c r="D256">
        <v>3718412520.8548198</v>
      </c>
      <c r="E256">
        <v>42471511.563334003</v>
      </c>
    </row>
    <row r="257" spans="1:5" x14ac:dyDescent="0.25">
      <c r="A257" t="s">
        <v>286</v>
      </c>
      <c r="B257">
        <v>0.12512278042220801</v>
      </c>
      <c r="C257" s="5">
        <f t="shared" si="3"/>
        <v>4.6920039914201794E-2</v>
      </c>
      <c r="D257">
        <v>3892880584.7507701</v>
      </c>
      <c r="E257">
        <v>70704522.636910304</v>
      </c>
    </row>
    <row r="258" spans="1:5" x14ac:dyDescent="0.25">
      <c r="A258" t="s">
        <v>287</v>
      </c>
      <c r="B258">
        <v>0.13782709931428699</v>
      </c>
      <c r="C258" s="5">
        <f t="shared" si="3"/>
        <v>0.10153481923283803</v>
      </c>
      <c r="D258">
        <v>4288143511.2185001</v>
      </c>
      <c r="E258">
        <v>109337178.07661</v>
      </c>
    </row>
    <row r="259" spans="1:5" x14ac:dyDescent="0.25">
      <c r="A259" t="s">
        <v>288</v>
      </c>
      <c r="B259">
        <v>0.141504188003479</v>
      </c>
      <c r="C259" s="5">
        <f t="shared" si="3"/>
        <v>2.6678996420052004E-2</v>
      </c>
      <c r="D259">
        <v>4402546876.6029501</v>
      </c>
      <c r="E259">
        <v>112348377.83276901</v>
      </c>
    </row>
    <row r="260" spans="1:5" x14ac:dyDescent="0.25">
      <c r="A260" t="s">
        <v>289</v>
      </c>
      <c r="B260">
        <v>0.15359194216168701</v>
      </c>
      <c r="C260" s="5">
        <f t="shared" ref="C260:C323" si="4">B260/B259-1</f>
        <v>8.542329614944566E-2</v>
      </c>
      <c r="D260">
        <v>4778626942.2548199</v>
      </c>
      <c r="E260">
        <v>130902702.74070001</v>
      </c>
    </row>
    <row r="261" spans="1:5" x14ac:dyDescent="0.25">
      <c r="A261" t="s">
        <v>290</v>
      </c>
      <c r="B261">
        <v>0.14985610948609099</v>
      </c>
      <c r="C261" s="5">
        <f t="shared" si="4"/>
        <v>-2.4323103302276716E-2</v>
      </c>
      <c r="D261">
        <v>4662395905.4953098</v>
      </c>
      <c r="E261">
        <v>108874472.99145401</v>
      </c>
    </row>
    <row r="262" spans="1:5" x14ac:dyDescent="0.25">
      <c r="A262" t="s">
        <v>291</v>
      </c>
      <c r="B262">
        <v>0.150808399244136</v>
      </c>
      <c r="C262" s="5">
        <f t="shared" si="4"/>
        <v>6.3546942551140351E-3</v>
      </c>
      <c r="D262">
        <v>4692024005.9710197</v>
      </c>
      <c r="E262">
        <v>89312435.471012995</v>
      </c>
    </row>
    <row r="263" spans="1:5" x14ac:dyDescent="0.25">
      <c r="A263" t="s">
        <v>292</v>
      </c>
      <c r="B263">
        <v>0.14744331769396599</v>
      </c>
      <c r="C263" s="5">
        <f t="shared" si="4"/>
        <v>-2.2313621569064246E-2</v>
      </c>
      <c r="D263">
        <v>4587327957.9088402</v>
      </c>
      <c r="E263">
        <v>75502631.237339094</v>
      </c>
    </row>
    <row r="264" spans="1:5" x14ac:dyDescent="0.25">
      <c r="A264" t="s">
        <v>293</v>
      </c>
      <c r="B264">
        <v>0.14544402100485401</v>
      </c>
      <c r="C264" s="5">
        <f t="shared" si="4"/>
        <v>-1.3559764663338081E-2</v>
      </c>
      <c r="D264">
        <v>4525124870.3660297</v>
      </c>
      <c r="E264">
        <v>71050257.753593594</v>
      </c>
    </row>
    <row r="265" spans="1:5" x14ac:dyDescent="0.25">
      <c r="A265" t="s">
        <v>294</v>
      </c>
      <c r="B265">
        <v>0.148038271958297</v>
      </c>
      <c r="C265" s="5">
        <f t="shared" si="4"/>
        <v>1.7836765894669648E-2</v>
      </c>
      <c r="D265">
        <v>4605838463.3228903</v>
      </c>
      <c r="E265">
        <v>50678197.151122801</v>
      </c>
    </row>
    <row r="266" spans="1:5" x14ac:dyDescent="0.25">
      <c r="A266" t="s">
        <v>295</v>
      </c>
      <c r="B266">
        <v>0.14532768727707401</v>
      </c>
      <c r="C266" s="5">
        <f t="shared" si="4"/>
        <v>-1.8310026490896636E-2</v>
      </c>
      <c r="D266">
        <v>4521505439.0466805</v>
      </c>
      <c r="E266">
        <v>50052280.227565996</v>
      </c>
    </row>
    <row r="267" spans="1:5" x14ac:dyDescent="0.25">
      <c r="A267" t="s">
        <v>296</v>
      </c>
      <c r="B267">
        <v>0.139655046862701</v>
      </c>
      <c r="C267" s="5">
        <f t="shared" si="4"/>
        <v>-3.9033445867461269E-2</v>
      </c>
      <c r="D267">
        <v>4345015501.2522097</v>
      </c>
      <c r="E267">
        <v>43350203.387002103</v>
      </c>
    </row>
    <row r="268" spans="1:5" x14ac:dyDescent="0.25">
      <c r="A268" t="s">
        <v>297</v>
      </c>
      <c r="B268">
        <v>0.12866909735630599</v>
      </c>
      <c r="C268" s="5">
        <f t="shared" si="4"/>
        <v>-7.8664894346393455E-2</v>
      </c>
      <c r="D268">
        <v>4003215315.9127598</v>
      </c>
      <c r="E268">
        <v>63780388.602810301</v>
      </c>
    </row>
    <row r="269" spans="1:5" x14ac:dyDescent="0.25">
      <c r="A269" t="s">
        <v>298</v>
      </c>
      <c r="B269">
        <v>0.131275307832317</v>
      </c>
      <c r="C269" s="5">
        <f t="shared" si="4"/>
        <v>2.0255139186948545E-2</v>
      </c>
      <c r="D269">
        <v>4084300999.3319001</v>
      </c>
      <c r="E269">
        <v>51858453.668423101</v>
      </c>
    </row>
    <row r="270" spans="1:5" x14ac:dyDescent="0.25">
      <c r="A270" t="s">
        <v>299</v>
      </c>
      <c r="B270">
        <v>0.12684678042125699</v>
      </c>
      <c r="C270" s="5">
        <f t="shared" si="4"/>
        <v>-3.3734656457379941E-2</v>
      </c>
      <c r="D270">
        <v>3946518508.2508898</v>
      </c>
      <c r="E270">
        <v>38798934.368141897</v>
      </c>
    </row>
    <row r="271" spans="1:5" x14ac:dyDescent="0.25">
      <c r="A271" t="s">
        <v>300</v>
      </c>
      <c r="B271">
        <v>0.13718088976085199</v>
      </c>
      <c r="C271" s="5">
        <f t="shared" si="4"/>
        <v>8.146922850761773E-2</v>
      </c>
      <c r="D271">
        <v>4268038326.4091301</v>
      </c>
      <c r="E271">
        <v>97185026.194513306</v>
      </c>
    </row>
    <row r="272" spans="1:5" x14ac:dyDescent="0.25">
      <c r="A272" t="s">
        <v>301</v>
      </c>
      <c r="B272">
        <v>0.13683082551255299</v>
      </c>
      <c r="C272" s="5">
        <f t="shared" si="4"/>
        <v>-2.5518441301064509E-3</v>
      </c>
      <c r="D272">
        <v>4257146957.85882</v>
      </c>
      <c r="E272">
        <v>56758192.093107499</v>
      </c>
    </row>
    <row r="273" spans="1:5" x14ac:dyDescent="0.25">
      <c r="A273" t="s">
        <v>302</v>
      </c>
      <c r="B273">
        <v>0.14212862254494399</v>
      </c>
      <c r="C273" s="5">
        <f t="shared" si="4"/>
        <v>3.8717862093910815E-2</v>
      </c>
      <c r="D273">
        <v>4421974586.6866999</v>
      </c>
      <c r="E273">
        <v>51504850.002047397</v>
      </c>
    </row>
    <row r="274" spans="1:5" x14ac:dyDescent="0.25">
      <c r="A274" t="s">
        <v>303</v>
      </c>
      <c r="B274">
        <v>0.15949574783956399</v>
      </c>
      <c r="C274" s="5">
        <f t="shared" si="4"/>
        <v>0.12219301773031788</v>
      </c>
      <c r="D274">
        <v>4962309005.7607403</v>
      </c>
      <c r="E274">
        <v>123611130.340708</v>
      </c>
    </row>
    <row r="275" spans="1:5" x14ac:dyDescent="0.25">
      <c r="A275" t="s">
        <v>304</v>
      </c>
      <c r="B275">
        <v>0.17094623516420601</v>
      </c>
      <c r="C275" s="5">
        <f t="shared" si="4"/>
        <v>7.1791803102863927E-2</v>
      </c>
      <c r="D275">
        <v>5318562116.8378897</v>
      </c>
      <c r="E275">
        <v>150632561.88003901</v>
      </c>
    </row>
    <row r="276" spans="1:5" x14ac:dyDescent="0.25">
      <c r="A276" t="s">
        <v>305</v>
      </c>
      <c r="B276">
        <v>0.17925642139568199</v>
      </c>
      <c r="C276" s="5">
        <f t="shared" si="4"/>
        <v>4.8612864878208262E-2</v>
      </c>
      <c r="D276">
        <v>5577112658.3700895</v>
      </c>
      <c r="E276">
        <v>327859302.64698601</v>
      </c>
    </row>
    <row r="277" spans="1:5" x14ac:dyDescent="0.25">
      <c r="A277" t="s">
        <v>306</v>
      </c>
      <c r="B277">
        <v>0.18103305706048101</v>
      </c>
      <c r="C277" s="5">
        <f t="shared" si="4"/>
        <v>9.9111409843297693E-3</v>
      </c>
      <c r="D277">
        <v>5632388208.2126799</v>
      </c>
      <c r="E277">
        <v>222316375.21586099</v>
      </c>
    </row>
    <row r="278" spans="1:5" x14ac:dyDescent="0.25">
      <c r="A278" t="s">
        <v>307</v>
      </c>
      <c r="B278">
        <v>0.16229084074203701</v>
      </c>
      <c r="C278" s="5">
        <f t="shared" si="4"/>
        <v>-0.10352924831945165</v>
      </c>
      <c r="D278">
        <v>5049271290.7730703</v>
      </c>
      <c r="E278">
        <v>215935098.36805201</v>
      </c>
    </row>
    <row r="279" spans="1:5" x14ac:dyDescent="0.25">
      <c r="A279" t="s">
        <v>308</v>
      </c>
      <c r="B279">
        <v>0.163134844562078</v>
      </c>
      <c r="C279" s="5">
        <f t="shared" si="4"/>
        <v>5.2005634833240943E-3</v>
      </c>
      <c r="D279">
        <v>5075530346.6652603</v>
      </c>
      <c r="E279">
        <v>130500992.651237</v>
      </c>
    </row>
    <row r="280" spans="1:5" x14ac:dyDescent="0.25">
      <c r="A280" t="s">
        <v>309</v>
      </c>
      <c r="B280">
        <v>0.169667110601255</v>
      </c>
      <c r="C280" s="5">
        <f t="shared" si="4"/>
        <v>4.0042126234357323E-2</v>
      </c>
      <c r="D280">
        <v>5278765373.5127497</v>
      </c>
      <c r="E280">
        <v>141054329.937148</v>
      </c>
    </row>
    <row r="281" spans="1:5" x14ac:dyDescent="0.25">
      <c r="A281" t="s">
        <v>310</v>
      </c>
      <c r="B281">
        <v>0.16444067067302801</v>
      </c>
      <c r="C281" s="5">
        <f t="shared" si="4"/>
        <v>-3.080408400724155E-2</v>
      </c>
      <c r="D281">
        <v>5116157841.4925499</v>
      </c>
      <c r="E281">
        <v>146409700.63389701</v>
      </c>
    </row>
    <row r="282" spans="1:5" x14ac:dyDescent="0.25">
      <c r="A282" t="s">
        <v>311</v>
      </c>
      <c r="B282">
        <v>0.17285389722809</v>
      </c>
      <c r="C282" s="5">
        <f t="shared" si="4"/>
        <v>5.1162686947384017E-2</v>
      </c>
      <c r="D282">
        <v>5377914223.51021</v>
      </c>
      <c r="E282">
        <v>196859871.409565</v>
      </c>
    </row>
    <row r="283" spans="1:5" x14ac:dyDescent="0.25">
      <c r="A283" t="s">
        <v>312</v>
      </c>
      <c r="B283">
        <v>0.17212923289669199</v>
      </c>
      <c r="C283" s="5">
        <f t="shared" si="4"/>
        <v>-4.1923517086905893E-3</v>
      </c>
      <c r="D283">
        <v>5355368115.6260796</v>
      </c>
      <c r="E283">
        <v>131393725.003545</v>
      </c>
    </row>
    <row r="284" spans="1:5" x14ac:dyDescent="0.25">
      <c r="A284" t="s">
        <v>313</v>
      </c>
      <c r="B284">
        <v>0.16471651692846201</v>
      </c>
      <c r="C284" s="5">
        <f t="shared" si="4"/>
        <v>-4.3064828928151444E-2</v>
      </c>
      <c r="D284">
        <v>5124740103.8793802</v>
      </c>
      <c r="E284">
        <v>91064087.247742593</v>
      </c>
    </row>
    <row r="285" spans="1:5" x14ac:dyDescent="0.25">
      <c r="A285" t="s">
        <v>314</v>
      </c>
      <c r="B285">
        <v>0.16513332284580701</v>
      </c>
      <c r="C285" s="5">
        <f t="shared" si="4"/>
        <v>2.5304439719668892E-3</v>
      </c>
      <c r="D285">
        <v>5137707971.5831299</v>
      </c>
      <c r="E285">
        <v>104268002.31862</v>
      </c>
    </row>
    <row r="286" spans="1:5" x14ac:dyDescent="0.25">
      <c r="A286" t="s">
        <v>315</v>
      </c>
      <c r="B286">
        <v>0.16351443502286001</v>
      </c>
      <c r="C286" s="5">
        <f t="shared" si="4"/>
        <v>-9.8035199379996607E-3</v>
      </c>
      <c r="D286">
        <v>5087340349.0481005</v>
      </c>
      <c r="E286">
        <v>50480410.910598896</v>
      </c>
    </row>
    <row r="287" spans="1:5" x14ac:dyDescent="0.25">
      <c r="A287" t="s">
        <v>316</v>
      </c>
      <c r="B287">
        <v>0.163344113186006</v>
      </c>
      <c r="C287" s="5">
        <f t="shared" si="4"/>
        <v>-1.0416318096331256E-3</v>
      </c>
      <c r="D287">
        <v>5082041213.5141001</v>
      </c>
      <c r="E287">
        <v>48132238.6924835</v>
      </c>
    </row>
    <row r="288" spans="1:5" x14ac:dyDescent="0.25">
      <c r="A288" t="s">
        <v>317</v>
      </c>
      <c r="B288">
        <v>0.15386140209157601</v>
      </c>
      <c r="C288" s="5">
        <f t="shared" si="4"/>
        <v>-5.8053583379718665E-2</v>
      </c>
      <c r="D288">
        <v>4787010510.1862001</v>
      </c>
      <c r="E288">
        <v>74698278.393634796</v>
      </c>
    </row>
    <row r="289" spans="1:5" x14ac:dyDescent="0.25">
      <c r="A289" t="s">
        <v>318</v>
      </c>
      <c r="B289">
        <v>0.143065167128474</v>
      </c>
      <c r="C289" s="5">
        <f t="shared" si="4"/>
        <v>-7.0168572600659451E-2</v>
      </c>
      <c r="D289">
        <v>4451112815.6620798</v>
      </c>
      <c r="E289">
        <v>99077327.120284796</v>
      </c>
    </row>
    <row r="290" spans="1:5" x14ac:dyDescent="0.25">
      <c r="A290" t="s">
        <v>319</v>
      </c>
      <c r="B290">
        <v>0.140928856490804</v>
      </c>
      <c r="C290" s="5">
        <f t="shared" si="4"/>
        <v>-1.4932430308151612E-2</v>
      </c>
      <c r="D290">
        <v>4384646883.7484703</v>
      </c>
      <c r="E290">
        <v>90178073.481861293</v>
      </c>
    </row>
    <row r="291" spans="1:5" x14ac:dyDescent="0.25">
      <c r="A291" t="s">
        <v>320</v>
      </c>
      <c r="B291">
        <v>0.13171648332341401</v>
      </c>
      <c r="C291" s="5">
        <f t="shared" si="4"/>
        <v>-6.5368962729014379E-2</v>
      </c>
      <c r="D291">
        <v>4098027065.0248399</v>
      </c>
      <c r="E291">
        <v>76242224.642081797</v>
      </c>
    </row>
    <row r="292" spans="1:5" x14ac:dyDescent="0.25">
      <c r="A292" t="s">
        <v>321</v>
      </c>
      <c r="B292">
        <v>0.13011678808951199</v>
      </c>
      <c r="C292" s="5">
        <f t="shared" si="4"/>
        <v>-1.2144988945492541E-2</v>
      </c>
      <c r="D292">
        <v>4048256571.6217899</v>
      </c>
      <c r="E292">
        <v>89947943.985011399</v>
      </c>
    </row>
    <row r="293" spans="1:5" x14ac:dyDescent="0.25">
      <c r="A293" t="s">
        <v>322</v>
      </c>
      <c r="B293">
        <v>0.12693422011748101</v>
      </c>
      <c r="C293" s="5">
        <f t="shared" si="4"/>
        <v>-2.4459318576489752E-2</v>
      </c>
      <c r="D293">
        <v>3949238974.4571199</v>
      </c>
      <c r="E293">
        <v>66524246.438820899</v>
      </c>
    </row>
    <row r="294" spans="1:5" x14ac:dyDescent="0.25">
      <c r="A294" t="s">
        <v>323</v>
      </c>
      <c r="B294">
        <v>0.130987381589141</v>
      </c>
      <c r="C294" s="5">
        <f t="shared" si="4"/>
        <v>3.1931196078635704E-2</v>
      </c>
      <c r="D294">
        <v>4075342898.51192</v>
      </c>
      <c r="E294">
        <v>53162936.656372704</v>
      </c>
    </row>
    <row r="295" spans="1:5" x14ac:dyDescent="0.25">
      <c r="A295" t="s">
        <v>324</v>
      </c>
      <c r="B295">
        <v>0.13025878110390501</v>
      </c>
      <c r="C295" s="5">
        <f t="shared" si="4"/>
        <v>-5.5623715536304852E-3</v>
      </c>
      <c r="D295">
        <v>4052674327.1019402</v>
      </c>
      <c r="E295">
        <v>66660235.963117197</v>
      </c>
    </row>
    <row r="296" spans="1:5" x14ac:dyDescent="0.25">
      <c r="A296" t="s">
        <v>325</v>
      </c>
      <c r="B296">
        <v>0.12516207109138</v>
      </c>
      <c r="C296" s="5">
        <f t="shared" si="4"/>
        <v>-3.9127573353073708E-2</v>
      </c>
      <c r="D296">
        <v>3894103015.0921402</v>
      </c>
      <c r="E296">
        <v>67821011.040586397</v>
      </c>
    </row>
    <row r="297" spans="1:5" x14ac:dyDescent="0.25">
      <c r="A297" t="s">
        <v>326</v>
      </c>
      <c r="B297">
        <v>0.114469363264836</v>
      </c>
      <c r="C297" s="5">
        <f t="shared" si="4"/>
        <v>-8.5430895584472366E-2</v>
      </c>
      <c r="D297">
        <v>3561426307.0146198</v>
      </c>
      <c r="E297">
        <v>100878371.981178</v>
      </c>
    </row>
    <row r="298" spans="1:5" x14ac:dyDescent="0.25">
      <c r="A298" t="s">
        <v>327</v>
      </c>
      <c r="B298">
        <v>0.123206521302651</v>
      </c>
      <c r="C298" s="5">
        <f t="shared" si="4"/>
        <v>7.6327480022761574E-2</v>
      </c>
      <c r="D298">
        <v>3833261002.3158202</v>
      </c>
      <c r="E298">
        <v>117174724.776723</v>
      </c>
    </row>
    <row r="299" spans="1:5" x14ac:dyDescent="0.25">
      <c r="A299" t="s">
        <v>328</v>
      </c>
      <c r="B299">
        <v>0.11566881887981</v>
      </c>
      <c r="C299" s="5">
        <f t="shared" si="4"/>
        <v>-6.1179411147604723E-2</v>
      </c>
      <c r="D299">
        <v>3598744351.4190602</v>
      </c>
      <c r="E299">
        <v>106177876.124071</v>
      </c>
    </row>
    <row r="300" spans="1:5" x14ac:dyDescent="0.25">
      <c r="A300" t="s">
        <v>329</v>
      </c>
      <c r="B300">
        <v>0.11113328153921501</v>
      </c>
      <c r="C300" s="5">
        <f t="shared" si="4"/>
        <v>-3.9211408783449309E-2</v>
      </c>
      <c r="D300">
        <v>3457632515.54842</v>
      </c>
      <c r="E300">
        <v>101671731.17375299</v>
      </c>
    </row>
    <row r="301" spans="1:5" x14ac:dyDescent="0.25">
      <c r="A301" t="s">
        <v>330</v>
      </c>
      <c r="B301">
        <v>0.11234656067126</v>
      </c>
      <c r="C301" s="5">
        <f t="shared" si="4"/>
        <v>1.0917333810726015E-2</v>
      </c>
      <c r="D301">
        <v>3495380643.9154902</v>
      </c>
      <c r="E301">
        <v>64129653.200757399</v>
      </c>
    </row>
    <row r="302" spans="1:5" x14ac:dyDescent="0.25">
      <c r="A302" t="s">
        <v>331</v>
      </c>
      <c r="B302">
        <v>0.103942449090696</v>
      </c>
      <c r="C302" s="5">
        <f t="shared" si="4"/>
        <v>-7.4805241302895564E-2</v>
      </c>
      <c r="D302">
        <v>3233907851.4019299</v>
      </c>
      <c r="E302">
        <v>72874925.282517493</v>
      </c>
    </row>
    <row r="303" spans="1:5" x14ac:dyDescent="0.25">
      <c r="A303" t="s">
        <v>332</v>
      </c>
      <c r="B303">
        <v>9.4587283119980298E-2</v>
      </c>
      <c r="C303" s="5">
        <f t="shared" si="4"/>
        <v>-9.0003324460372847E-2</v>
      </c>
      <c r="D303">
        <v>2942845393.7772398</v>
      </c>
      <c r="E303">
        <v>141265235.71061099</v>
      </c>
    </row>
    <row r="304" spans="1:5" x14ac:dyDescent="0.25">
      <c r="A304" t="s">
        <v>333</v>
      </c>
      <c r="B304">
        <v>9.4589623029205996E-2</v>
      </c>
      <c r="C304" s="5">
        <f t="shared" si="4"/>
        <v>2.4738095317999864E-5</v>
      </c>
      <c r="D304">
        <v>2935686756.66365</v>
      </c>
      <c r="E304">
        <v>107262392.82728299</v>
      </c>
    </row>
    <row r="305" spans="1:5" x14ac:dyDescent="0.25">
      <c r="A305" t="s">
        <v>334</v>
      </c>
      <c r="B305">
        <v>9.5164417252501105E-2</v>
      </c>
      <c r="C305" s="5">
        <f t="shared" si="4"/>
        <v>6.0767154460235062E-3</v>
      </c>
      <c r="D305">
        <v>2960108997.30797</v>
      </c>
      <c r="E305">
        <v>57527997.878849499</v>
      </c>
    </row>
    <row r="306" spans="1:5" x14ac:dyDescent="0.25">
      <c r="A306" t="s">
        <v>335</v>
      </c>
      <c r="B306">
        <v>0.109912775156201</v>
      </c>
      <c r="C306" s="5">
        <f t="shared" si="4"/>
        <v>0.15497765162127641</v>
      </c>
      <c r="D306">
        <v>3419659529.4465699</v>
      </c>
      <c r="E306">
        <v>118693524.228229</v>
      </c>
    </row>
    <row r="307" spans="1:5" x14ac:dyDescent="0.25">
      <c r="A307" t="s">
        <v>336</v>
      </c>
      <c r="B307">
        <v>9.9656546122035894E-2</v>
      </c>
      <c r="C307" s="5">
        <f t="shared" si="4"/>
        <v>-9.3312438154614985E-2</v>
      </c>
      <c r="D307">
        <v>3100562761.0952301</v>
      </c>
      <c r="E307">
        <v>109323815.31372</v>
      </c>
    </row>
    <row r="308" spans="1:5" x14ac:dyDescent="0.25">
      <c r="A308" t="s">
        <v>337</v>
      </c>
      <c r="B308">
        <v>0.102443318061407</v>
      </c>
      <c r="C308" s="5">
        <f t="shared" si="4"/>
        <v>2.796376201878914E-2</v>
      </c>
      <c r="D308">
        <v>3187266160.2708402</v>
      </c>
      <c r="E308">
        <v>54534210.093635403</v>
      </c>
    </row>
    <row r="309" spans="1:5" x14ac:dyDescent="0.25">
      <c r="A309" t="s">
        <v>338</v>
      </c>
      <c r="B309">
        <v>9.3829543031667503E-2</v>
      </c>
      <c r="C309" s="5">
        <f t="shared" si="4"/>
        <v>-8.4083327177827183E-2</v>
      </c>
      <c r="D309">
        <v>2919270216.91395</v>
      </c>
      <c r="E309">
        <v>55330631.765620098</v>
      </c>
    </row>
    <row r="310" spans="1:5" x14ac:dyDescent="0.25">
      <c r="A310" t="s">
        <v>339</v>
      </c>
      <c r="B310">
        <v>9.4893037622902299E-2</v>
      </c>
      <c r="C310" s="5">
        <f t="shared" si="4"/>
        <v>1.1334325595893313E-2</v>
      </c>
      <c r="D310">
        <v>2952926214.5986099</v>
      </c>
      <c r="E310">
        <v>53931658.244865797</v>
      </c>
    </row>
    <row r="311" spans="1:5" x14ac:dyDescent="0.25">
      <c r="A311" t="s">
        <v>340</v>
      </c>
      <c r="B311">
        <v>8.9946781062070796E-2</v>
      </c>
      <c r="C311" s="5">
        <f t="shared" si="4"/>
        <v>-5.2124546592001275E-2</v>
      </c>
      <c r="D311">
        <v>2797856425.9706302</v>
      </c>
      <c r="E311">
        <v>70752219.337201104</v>
      </c>
    </row>
    <row r="312" spans="1:5" x14ac:dyDescent="0.25">
      <c r="A312" t="s">
        <v>341</v>
      </c>
      <c r="B312">
        <v>9.2342233340019994E-2</v>
      </c>
      <c r="C312" s="5">
        <f t="shared" si="4"/>
        <v>2.663188442837261E-2</v>
      </c>
      <c r="D312">
        <v>2872996316.96872</v>
      </c>
      <c r="E312">
        <v>42398603.8421527</v>
      </c>
    </row>
    <row r="313" spans="1:5" x14ac:dyDescent="0.25">
      <c r="A313" t="s">
        <v>342</v>
      </c>
      <c r="B313">
        <v>9.4276742291121401E-2</v>
      </c>
      <c r="C313" s="5">
        <f t="shared" si="4"/>
        <v>2.0949341174998581E-2</v>
      </c>
      <c r="D313">
        <v>2933435848.1771998</v>
      </c>
      <c r="E313">
        <v>39339909.768628098</v>
      </c>
    </row>
    <row r="314" spans="1:5" x14ac:dyDescent="0.25">
      <c r="A314" t="s">
        <v>343</v>
      </c>
      <c r="B314">
        <v>9.4478310210063102E-2</v>
      </c>
      <c r="C314" s="5">
        <f t="shared" si="4"/>
        <v>2.1380450155910058E-3</v>
      </c>
      <c r="D314">
        <v>2944391514.6778302</v>
      </c>
      <c r="E314">
        <v>34263617.564096697</v>
      </c>
    </row>
    <row r="315" spans="1:5" x14ac:dyDescent="0.25">
      <c r="A315" t="s">
        <v>344</v>
      </c>
      <c r="B315">
        <v>9.3329990278623307E-2</v>
      </c>
      <c r="C315" s="5">
        <f t="shared" si="4"/>
        <v>-1.2154323345608287E-2</v>
      </c>
      <c r="D315">
        <v>2892182364.4038601</v>
      </c>
      <c r="E315">
        <v>30483200.134591602</v>
      </c>
    </row>
    <row r="316" spans="1:5" x14ac:dyDescent="0.25">
      <c r="A316" t="s">
        <v>345</v>
      </c>
      <c r="B316">
        <v>0.100915750909847</v>
      </c>
      <c r="C316" s="5">
        <f t="shared" si="4"/>
        <v>8.127891804743026E-2</v>
      </c>
      <c r="D316">
        <v>3132235466.0341702</v>
      </c>
      <c r="E316">
        <v>62948151.712364599</v>
      </c>
    </row>
    <row r="317" spans="1:5" x14ac:dyDescent="0.25">
      <c r="A317" t="s">
        <v>346</v>
      </c>
      <c r="B317">
        <v>0.10569543606680699</v>
      </c>
      <c r="C317" s="5">
        <f t="shared" si="4"/>
        <v>4.7363123336711999E-2</v>
      </c>
      <c r="D317">
        <v>3288447631.7807999</v>
      </c>
      <c r="E317">
        <v>91666529.466818899</v>
      </c>
    </row>
    <row r="318" spans="1:5" x14ac:dyDescent="0.25">
      <c r="A318" t="s">
        <v>347</v>
      </c>
      <c r="B318">
        <v>0.105332719047116</v>
      </c>
      <c r="C318" s="5">
        <f t="shared" si="4"/>
        <v>-3.4317188441489455E-3</v>
      </c>
      <c r="D318">
        <v>3284313693.99893</v>
      </c>
      <c r="E318">
        <v>94067635.223434195</v>
      </c>
    </row>
    <row r="319" spans="1:5" x14ac:dyDescent="0.25">
      <c r="A319" t="s">
        <v>348</v>
      </c>
      <c r="B319">
        <v>0.10089391832868901</v>
      </c>
      <c r="C319" s="5">
        <f t="shared" si="4"/>
        <v>-4.2140758907414977E-2</v>
      </c>
      <c r="D319">
        <v>3145985259.4654298</v>
      </c>
      <c r="E319">
        <v>74150720.912223995</v>
      </c>
    </row>
    <row r="320" spans="1:5" x14ac:dyDescent="0.25">
      <c r="A320" t="s">
        <v>349</v>
      </c>
      <c r="B320">
        <v>0.10222952481723099</v>
      </c>
      <c r="C320" s="5">
        <f t="shared" si="4"/>
        <v>1.3237730387186453E-2</v>
      </c>
      <c r="D320">
        <v>3180792979.8200202</v>
      </c>
      <c r="E320">
        <v>50496644.823135398</v>
      </c>
    </row>
    <row r="321" spans="1:5" x14ac:dyDescent="0.25">
      <c r="A321" t="s">
        <v>350</v>
      </c>
      <c r="B321">
        <v>0.10742365655934</v>
      </c>
      <c r="C321" s="5">
        <f t="shared" si="4"/>
        <v>5.0808528665228891E-2</v>
      </c>
      <c r="D321">
        <v>3342177673.1286702</v>
      </c>
      <c r="E321">
        <v>79478343.317768499</v>
      </c>
    </row>
    <row r="322" spans="1:5" x14ac:dyDescent="0.25">
      <c r="A322" t="s">
        <v>351</v>
      </c>
      <c r="B322">
        <v>0.105546660980027</v>
      </c>
      <c r="C322" s="5">
        <f t="shared" si="4"/>
        <v>-1.7472832702135399E-2</v>
      </c>
      <c r="D322">
        <v>3285356397.4621201</v>
      </c>
      <c r="E322">
        <v>67143765.819575995</v>
      </c>
    </row>
    <row r="323" spans="1:5" x14ac:dyDescent="0.25">
      <c r="A323" t="s">
        <v>352</v>
      </c>
      <c r="B323">
        <v>0.103623293311596</v>
      </c>
      <c r="C323" s="5">
        <f t="shared" si="4"/>
        <v>-1.822291345431537E-2</v>
      </c>
      <c r="D323">
        <v>3221965153.2290802</v>
      </c>
      <c r="E323">
        <v>47835565.147366904</v>
      </c>
    </row>
    <row r="324" spans="1:5" x14ac:dyDescent="0.25">
      <c r="A324" t="s">
        <v>353</v>
      </c>
      <c r="B324">
        <v>0.10529341253815</v>
      </c>
      <c r="C324" s="5">
        <f t="shared" ref="C324:C387" si="5">B324/B323-1</f>
        <v>1.6117218177306381E-2</v>
      </c>
      <c r="D324">
        <v>3275947567.00488</v>
      </c>
      <c r="E324">
        <v>56377369.8924492</v>
      </c>
    </row>
    <row r="325" spans="1:5" x14ac:dyDescent="0.25">
      <c r="A325" t="s">
        <v>354</v>
      </c>
      <c r="B325">
        <v>8.8588942676831997E-2</v>
      </c>
      <c r="C325" s="5">
        <f t="shared" si="5"/>
        <v>-0.15864686554123819</v>
      </c>
      <c r="D325">
        <v>2754520362.8045301</v>
      </c>
      <c r="E325">
        <v>105140724.834824</v>
      </c>
    </row>
    <row r="326" spans="1:5" x14ac:dyDescent="0.25">
      <c r="A326" t="s">
        <v>355</v>
      </c>
      <c r="B326">
        <v>8.8449541797714304E-2</v>
      </c>
      <c r="C326" s="5">
        <f t="shared" si="5"/>
        <v>-1.5735697357425193E-3</v>
      </c>
      <c r="D326">
        <v>2751886526.2543101</v>
      </c>
      <c r="E326">
        <v>91513177.259164497</v>
      </c>
    </row>
    <row r="327" spans="1:5" x14ac:dyDescent="0.25">
      <c r="A327" t="s">
        <v>356</v>
      </c>
      <c r="B327">
        <v>8.33028319965292E-2</v>
      </c>
      <c r="C327" s="5">
        <f t="shared" si="5"/>
        <v>-5.818808889881788E-2</v>
      </c>
      <c r="D327">
        <v>2591797898.3477602</v>
      </c>
      <c r="E327">
        <v>48624757.181797102</v>
      </c>
    </row>
    <row r="328" spans="1:5" x14ac:dyDescent="0.25">
      <c r="A328" t="s">
        <v>357</v>
      </c>
      <c r="B328">
        <v>7.7848688219951195E-2</v>
      </c>
      <c r="C328" s="5">
        <f t="shared" si="5"/>
        <v>-6.5473689739686813E-2</v>
      </c>
      <c r="D328">
        <v>2421433166.50353</v>
      </c>
      <c r="E328">
        <v>43510093.872598603</v>
      </c>
    </row>
    <row r="329" spans="1:5" x14ac:dyDescent="0.25">
      <c r="A329" t="s">
        <v>358</v>
      </c>
      <c r="B329">
        <v>7.6393001577982206E-2</v>
      </c>
      <c r="C329" s="5">
        <f t="shared" si="5"/>
        <v>-1.8698923196446615E-2</v>
      </c>
      <c r="D329">
        <v>2376844835.3931899</v>
      </c>
      <c r="E329">
        <v>56659982.7111715</v>
      </c>
    </row>
    <row r="330" spans="1:5" x14ac:dyDescent="0.25">
      <c r="A330" t="s">
        <v>359</v>
      </c>
      <c r="B330">
        <v>7.3419887708380094E-2</v>
      </c>
      <c r="C330" s="5">
        <f t="shared" si="5"/>
        <v>-3.89186680479775E-2</v>
      </c>
      <c r="D330">
        <v>2281645616.86831</v>
      </c>
      <c r="E330">
        <v>51745441.935056902</v>
      </c>
    </row>
    <row r="331" spans="1:5" x14ac:dyDescent="0.25">
      <c r="A331" t="s">
        <v>360</v>
      </c>
      <c r="B331">
        <v>7.0249999195720794E-2</v>
      </c>
      <c r="C331" s="5">
        <f t="shared" si="5"/>
        <v>-4.3174793800419997E-2</v>
      </c>
      <c r="D331">
        <v>2186171740.73283</v>
      </c>
      <c r="E331">
        <v>59524268.988319002</v>
      </c>
    </row>
    <row r="332" spans="1:5" x14ac:dyDescent="0.25">
      <c r="A332" t="s">
        <v>361</v>
      </c>
      <c r="B332">
        <v>6.66383630175863E-2</v>
      </c>
      <c r="C332" s="5">
        <f t="shared" si="5"/>
        <v>-5.1411191736419171E-2</v>
      </c>
      <c r="D332">
        <v>2073257856.0413401</v>
      </c>
      <c r="E332">
        <v>110527608.63344</v>
      </c>
    </row>
    <row r="333" spans="1:5" x14ac:dyDescent="0.25">
      <c r="A333" t="s">
        <v>362</v>
      </c>
      <c r="B333">
        <v>6.9898913304633298E-2</v>
      </c>
      <c r="C333" s="5">
        <f t="shared" si="5"/>
        <v>4.8929027356006793E-2</v>
      </c>
      <c r="D333">
        <v>2176534288.57657</v>
      </c>
      <c r="E333">
        <v>98333779.6280168</v>
      </c>
    </row>
    <row r="334" spans="1:5" x14ac:dyDescent="0.25">
      <c r="A334" t="s">
        <v>363</v>
      </c>
      <c r="B334">
        <v>6.8111199544990203E-2</v>
      </c>
      <c r="C334" s="5">
        <f t="shared" si="5"/>
        <v>-2.5575701754502078E-2</v>
      </c>
      <c r="D334">
        <v>2124660084.58866</v>
      </c>
      <c r="E334">
        <v>74151647.660450697</v>
      </c>
    </row>
    <row r="335" spans="1:5" x14ac:dyDescent="0.25">
      <c r="A335" t="s">
        <v>364</v>
      </c>
      <c r="B335">
        <v>6.9335333662521606E-2</v>
      </c>
      <c r="C335" s="5">
        <f t="shared" si="5"/>
        <v>1.7972581979308844E-2</v>
      </c>
      <c r="D335">
        <v>2156768492.83429</v>
      </c>
      <c r="E335">
        <v>43581137.005957603</v>
      </c>
    </row>
    <row r="336" spans="1:5" x14ac:dyDescent="0.25">
      <c r="A336" t="s">
        <v>365</v>
      </c>
      <c r="B336">
        <v>6.9926851499257495E-2</v>
      </c>
      <c r="C336" s="5">
        <f t="shared" si="5"/>
        <v>8.5312611260373039E-3</v>
      </c>
      <c r="D336">
        <v>2175598093.61377</v>
      </c>
      <c r="E336">
        <v>41967155.978137702</v>
      </c>
    </row>
    <row r="337" spans="1:5" x14ac:dyDescent="0.25">
      <c r="A337" t="s">
        <v>366</v>
      </c>
      <c r="B337">
        <v>6.3703713693208194E-2</v>
      </c>
      <c r="C337" s="5">
        <f t="shared" si="5"/>
        <v>-8.8994966491739991E-2</v>
      </c>
      <c r="D337">
        <v>1980644946.9797001</v>
      </c>
      <c r="E337">
        <v>57130960.763226397</v>
      </c>
    </row>
    <row r="338" spans="1:5" x14ac:dyDescent="0.25">
      <c r="A338" t="s">
        <v>367</v>
      </c>
      <c r="B338">
        <v>6.9260575877499106E-2</v>
      </c>
      <c r="C338" s="5">
        <f t="shared" si="5"/>
        <v>8.7229799679376718E-2</v>
      </c>
      <c r="D338">
        <v>2155140506.72679</v>
      </c>
      <c r="E338">
        <v>83881538.293068498</v>
      </c>
    </row>
    <row r="339" spans="1:5" x14ac:dyDescent="0.25">
      <c r="A339" t="s">
        <v>368</v>
      </c>
      <c r="B339">
        <v>7.2087088921200193E-2</v>
      </c>
      <c r="C339" s="5">
        <f t="shared" si="5"/>
        <v>4.0809840344098847E-2</v>
      </c>
      <c r="D339">
        <v>2242808447.2356701</v>
      </c>
      <c r="E339">
        <v>111424352.960162</v>
      </c>
    </row>
    <row r="340" spans="1:5" x14ac:dyDescent="0.25">
      <c r="A340" t="s">
        <v>369</v>
      </c>
      <c r="B340">
        <v>8.1161798971995797E-2</v>
      </c>
      <c r="C340" s="5">
        <f t="shared" si="5"/>
        <v>0.12588537263191957</v>
      </c>
      <c r="D340">
        <v>2525145224.3579502</v>
      </c>
      <c r="E340">
        <v>124799450.506708</v>
      </c>
    </row>
    <row r="341" spans="1:5" x14ac:dyDescent="0.25">
      <c r="A341" t="s">
        <v>370</v>
      </c>
      <c r="B341">
        <v>8.7938024950012794E-2</v>
      </c>
      <c r="C341" s="5">
        <f t="shared" si="5"/>
        <v>8.3490337373560264E-2</v>
      </c>
      <c r="D341">
        <v>2735970451.0568299</v>
      </c>
      <c r="E341">
        <v>237757692.09227201</v>
      </c>
    </row>
    <row r="342" spans="1:5" x14ac:dyDescent="0.25">
      <c r="A342" t="s">
        <v>371</v>
      </c>
      <c r="B342">
        <v>8.3682619476815906E-2</v>
      </c>
      <c r="C342" s="5">
        <f t="shared" si="5"/>
        <v>-4.8390960288405616E-2</v>
      </c>
      <c r="D342">
        <v>2603147398.42943</v>
      </c>
      <c r="E342">
        <v>95179373.264305398</v>
      </c>
    </row>
    <row r="343" spans="1:5" x14ac:dyDescent="0.25">
      <c r="A343" t="s">
        <v>372</v>
      </c>
      <c r="B343">
        <v>8.9906180409752401E-2</v>
      </c>
      <c r="C343" s="5">
        <f t="shared" si="5"/>
        <v>7.4371010035850116E-2</v>
      </c>
      <c r="D343">
        <v>2800887024.0041399</v>
      </c>
      <c r="E343">
        <v>171440269.24139401</v>
      </c>
    </row>
    <row r="344" spans="1:5" x14ac:dyDescent="0.25">
      <c r="A344" t="s">
        <v>373</v>
      </c>
      <c r="B344">
        <v>8.2776147941732797E-2</v>
      </c>
      <c r="C344" s="5">
        <f t="shared" si="5"/>
        <v>-7.9305253938317555E-2</v>
      </c>
      <c r="D344">
        <v>2575307558.49932</v>
      </c>
      <c r="E344">
        <v>100776019.308128</v>
      </c>
    </row>
    <row r="345" spans="1:5" x14ac:dyDescent="0.25">
      <c r="A345" t="s">
        <v>374</v>
      </c>
      <c r="B345">
        <v>8.09812040081372E-2</v>
      </c>
      <c r="C345" s="5">
        <f t="shared" si="5"/>
        <v>-2.1684313394953803E-2</v>
      </c>
      <c r="D345">
        <v>2519526466.31776</v>
      </c>
      <c r="E345">
        <v>107058582.67389999</v>
      </c>
    </row>
    <row r="346" spans="1:5" x14ac:dyDescent="0.25">
      <c r="A346" t="s">
        <v>375</v>
      </c>
      <c r="B346">
        <v>7.9166623227770794E-2</v>
      </c>
      <c r="C346" s="5">
        <f t="shared" si="5"/>
        <v>-2.2407431484768647E-2</v>
      </c>
      <c r="D346">
        <v>2465244036.7485499</v>
      </c>
      <c r="E346">
        <v>60636381.985832199</v>
      </c>
    </row>
    <row r="347" spans="1:5" x14ac:dyDescent="0.25">
      <c r="A347" t="s">
        <v>376</v>
      </c>
      <c r="B347">
        <v>8.6309300463813202E-2</v>
      </c>
      <c r="C347" s="5">
        <f t="shared" si="5"/>
        <v>9.0223340908354377E-2</v>
      </c>
      <c r="D347">
        <v>2680098108.37532</v>
      </c>
      <c r="E347">
        <v>117104619.722417</v>
      </c>
    </row>
    <row r="348" spans="1:5" x14ac:dyDescent="0.25">
      <c r="A348" t="s">
        <v>377</v>
      </c>
      <c r="B348">
        <v>8.4024661550431506E-2</v>
      </c>
      <c r="C348" s="5">
        <f t="shared" si="5"/>
        <v>-2.6470367632507652E-2</v>
      </c>
      <c r="D348">
        <v>2614760090.4608002</v>
      </c>
      <c r="E348">
        <v>103511766.41913199</v>
      </c>
    </row>
    <row r="349" spans="1:5" x14ac:dyDescent="0.25">
      <c r="A349" t="s">
        <v>378</v>
      </c>
      <c r="B349">
        <v>8.4582604581246404E-2</v>
      </c>
      <c r="C349" s="5">
        <f t="shared" si="5"/>
        <v>6.6402294340695001E-3</v>
      </c>
      <c r="D349">
        <v>2633828107.8176799</v>
      </c>
      <c r="E349">
        <v>65434385.088179603</v>
      </c>
    </row>
    <row r="350" spans="1:5" x14ac:dyDescent="0.25">
      <c r="A350" t="s">
        <v>379</v>
      </c>
      <c r="B350">
        <v>8.5168912666645696E-2</v>
      </c>
      <c r="C350" s="5">
        <f t="shared" si="5"/>
        <v>6.931780929447573E-3</v>
      </c>
      <c r="D350">
        <v>2649312387.0925598</v>
      </c>
      <c r="E350">
        <v>55038544.976307198</v>
      </c>
    </row>
    <row r="351" spans="1:5" x14ac:dyDescent="0.25">
      <c r="A351" t="s">
        <v>380</v>
      </c>
      <c r="B351">
        <v>8.4585802141590602E-2</v>
      </c>
      <c r="C351" s="5">
        <f t="shared" si="5"/>
        <v>-6.8465183691778231E-3</v>
      </c>
      <c r="D351">
        <v>2634535632.5701599</v>
      </c>
      <c r="E351">
        <v>46007641.055426799</v>
      </c>
    </row>
    <row r="352" spans="1:5" x14ac:dyDescent="0.25">
      <c r="A352" t="s">
        <v>381</v>
      </c>
      <c r="B352">
        <v>8.2331752555820897E-2</v>
      </c>
      <c r="C352" s="5">
        <f t="shared" si="5"/>
        <v>-2.664808429665988E-2</v>
      </c>
      <c r="D352">
        <v>2561902549.1837301</v>
      </c>
      <c r="E352">
        <v>38692069.566100299</v>
      </c>
    </row>
    <row r="353" spans="1:5" x14ac:dyDescent="0.25">
      <c r="A353" t="s">
        <v>382</v>
      </c>
      <c r="B353">
        <v>8.0886137722156304E-2</v>
      </c>
      <c r="C353" s="5">
        <f t="shared" si="5"/>
        <v>-1.7558412019523906E-2</v>
      </c>
      <c r="D353">
        <v>2521205770.7948399</v>
      </c>
      <c r="E353">
        <v>44367995.963467099</v>
      </c>
    </row>
    <row r="354" spans="1:5" x14ac:dyDescent="0.25">
      <c r="A354" t="s">
        <v>383</v>
      </c>
      <c r="B354">
        <v>8.1457957380828602E-2</v>
      </c>
      <c r="C354" s="5">
        <f t="shared" si="5"/>
        <v>7.0694395204837779E-3</v>
      </c>
      <c r="D354">
        <v>2534359448.3055501</v>
      </c>
      <c r="E354">
        <v>37175338.878885202</v>
      </c>
    </row>
    <row r="355" spans="1:5" x14ac:dyDescent="0.25">
      <c r="A355" t="s">
        <v>384</v>
      </c>
      <c r="B355">
        <v>8.3198009514070304E-2</v>
      </c>
      <c r="C355" s="5">
        <f t="shared" si="5"/>
        <v>2.1361352398105105E-2</v>
      </c>
      <c r="D355">
        <v>2588000719.2669301</v>
      </c>
      <c r="E355">
        <v>36985087.842913002</v>
      </c>
    </row>
    <row r="356" spans="1:5" x14ac:dyDescent="0.25">
      <c r="A356" t="s">
        <v>385</v>
      </c>
      <c r="B356">
        <v>8.1494966755813303E-2</v>
      </c>
      <c r="C356" s="5">
        <f t="shared" si="5"/>
        <v>-2.0469753641990551E-2</v>
      </c>
      <c r="D356">
        <v>2535335484.8434401</v>
      </c>
      <c r="E356">
        <v>30796838.801590402</v>
      </c>
    </row>
    <row r="357" spans="1:5" x14ac:dyDescent="0.25">
      <c r="A357" t="s">
        <v>386</v>
      </c>
      <c r="B357">
        <v>8.4611411593820005E-2</v>
      </c>
      <c r="C357" s="5">
        <f t="shared" si="5"/>
        <v>3.8240948638516903E-2</v>
      </c>
      <c r="D357">
        <v>2632395151.4530702</v>
      </c>
      <c r="E357">
        <v>39755155.145253196</v>
      </c>
    </row>
    <row r="358" spans="1:5" x14ac:dyDescent="0.25">
      <c r="A358" t="s">
        <v>387</v>
      </c>
      <c r="B358">
        <v>8.6870699292124695E-2</v>
      </c>
      <c r="C358" s="5">
        <f t="shared" si="5"/>
        <v>2.6701926557501254E-2</v>
      </c>
      <c r="D358">
        <v>2703175710.16224</v>
      </c>
      <c r="E358">
        <v>74139669.315851599</v>
      </c>
    </row>
    <row r="359" spans="1:5" x14ac:dyDescent="0.25">
      <c r="A359" t="s">
        <v>388</v>
      </c>
      <c r="B359">
        <v>8.6427917616948499E-2</v>
      </c>
      <c r="C359" s="5">
        <f t="shared" si="5"/>
        <v>-5.0970198097201047E-3</v>
      </c>
      <c r="D359">
        <v>2688659833.6223402</v>
      </c>
      <c r="E359">
        <v>44136284.922520801</v>
      </c>
    </row>
    <row r="360" spans="1:5" x14ac:dyDescent="0.25">
      <c r="A360" t="s">
        <v>389</v>
      </c>
      <c r="B360">
        <v>8.4860436497442002E-2</v>
      </c>
      <c r="C360" s="5">
        <f t="shared" si="5"/>
        <v>-1.8136282381043034E-2</v>
      </c>
      <c r="D360">
        <v>2640954970.5587401</v>
      </c>
      <c r="E360">
        <v>42325366.817070998</v>
      </c>
    </row>
    <row r="361" spans="1:5" x14ac:dyDescent="0.25">
      <c r="A361" t="s">
        <v>390</v>
      </c>
      <c r="B361">
        <v>7.1003213988886399E-2</v>
      </c>
      <c r="C361" s="5">
        <f t="shared" si="5"/>
        <v>-0.16329426385843904</v>
      </c>
      <c r="D361">
        <v>2207564898.3715901</v>
      </c>
      <c r="E361">
        <v>88703081.848367795</v>
      </c>
    </row>
    <row r="362" spans="1:5" x14ac:dyDescent="0.25">
      <c r="A362" t="s">
        <v>391</v>
      </c>
      <c r="B362">
        <v>7.3535018697788598E-2</v>
      </c>
      <c r="C362" s="5">
        <f t="shared" si="5"/>
        <v>3.5657607123227963E-2</v>
      </c>
      <c r="D362">
        <v>2290190996.4721398</v>
      </c>
      <c r="E362">
        <v>49520957.423680097</v>
      </c>
    </row>
    <row r="363" spans="1:5" x14ac:dyDescent="0.25">
      <c r="A363" t="s">
        <v>392</v>
      </c>
      <c r="B363">
        <v>7.3759660571175306E-2</v>
      </c>
      <c r="C363" s="5">
        <f t="shared" si="5"/>
        <v>3.0548965290935204E-3</v>
      </c>
      <c r="D363">
        <v>2294790703.0837002</v>
      </c>
      <c r="E363">
        <v>28192825.387277801</v>
      </c>
    </row>
    <row r="364" spans="1:5" x14ac:dyDescent="0.25">
      <c r="A364" t="s">
        <v>393</v>
      </c>
      <c r="B364">
        <v>7.1678857759844894E-2</v>
      </c>
      <c r="C364" s="5">
        <f t="shared" si="5"/>
        <v>-2.821058008154087E-2</v>
      </c>
      <c r="D364">
        <v>2232538534.56634</v>
      </c>
      <c r="E364">
        <v>31486256.065384898</v>
      </c>
    </row>
    <row r="365" spans="1:5" x14ac:dyDescent="0.25">
      <c r="A365" t="s">
        <v>394</v>
      </c>
      <c r="B365">
        <v>7.5713861525043002E-2</v>
      </c>
      <c r="C365" s="5">
        <f t="shared" si="5"/>
        <v>5.6292802247450924E-2</v>
      </c>
      <c r="D365">
        <v>2353322757.9909301</v>
      </c>
      <c r="E365">
        <v>85926739.484692201</v>
      </c>
    </row>
    <row r="366" spans="1:5" x14ac:dyDescent="0.25">
      <c r="A366" t="s">
        <v>395</v>
      </c>
      <c r="B366">
        <v>7.7001436468789305E-2</v>
      </c>
      <c r="C366" s="5">
        <f t="shared" si="5"/>
        <v>1.7005802079193E-2</v>
      </c>
      <c r="D366">
        <v>2395478887.7171602</v>
      </c>
      <c r="E366">
        <v>31081051.513690401</v>
      </c>
    </row>
    <row r="367" spans="1:5" x14ac:dyDescent="0.25">
      <c r="A367" t="s">
        <v>396</v>
      </c>
      <c r="B367">
        <v>7.8768463964969407E-2</v>
      </c>
      <c r="C367" s="5">
        <f t="shared" si="5"/>
        <v>2.2947980936645518E-2</v>
      </c>
      <c r="D367">
        <v>2450912179.8896599</v>
      </c>
      <c r="E367">
        <v>42942238.571235403</v>
      </c>
    </row>
    <row r="368" spans="1:5" x14ac:dyDescent="0.25">
      <c r="A368" t="s">
        <v>397</v>
      </c>
      <c r="B368">
        <v>7.5798571882624496E-2</v>
      </c>
      <c r="C368" s="5">
        <f t="shared" si="5"/>
        <v>-3.7704075119018521E-2</v>
      </c>
      <c r="D368">
        <v>2358742832.4277101</v>
      </c>
      <c r="E368">
        <v>32405176.841815501</v>
      </c>
    </row>
    <row r="369" spans="1:5" x14ac:dyDescent="0.25">
      <c r="A369" t="s">
        <v>398</v>
      </c>
      <c r="B369">
        <v>7.6411854931085793E-2</v>
      </c>
      <c r="C369" s="5">
        <f t="shared" si="5"/>
        <v>8.0909578271604055E-3</v>
      </c>
      <c r="D369">
        <v>2378591176.6882401</v>
      </c>
      <c r="E369">
        <v>21043642.612399001</v>
      </c>
    </row>
    <row r="370" spans="1:5" x14ac:dyDescent="0.25">
      <c r="A370" t="s">
        <v>399</v>
      </c>
      <c r="B370">
        <v>7.7267183073409795E-2</v>
      </c>
      <c r="C370" s="5">
        <f t="shared" si="5"/>
        <v>1.1193657621522357E-2</v>
      </c>
      <c r="D370">
        <v>2404000556.0323</v>
      </c>
      <c r="E370">
        <v>26589022.412439302</v>
      </c>
    </row>
    <row r="371" spans="1:5" x14ac:dyDescent="0.25">
      <c r="A371" t="s">
        <v>400</v>
      </c>
      <c r="B371">
        <v>7.6538146686331701E-2</v>
      </c>
      <c r="C371" s="5">
        <f t="shared" si="5"/>
        <v>-9.435265504443846E-3</v>
      </c>
      <c r="D371">
        <v>2381443090.7712002</v>
      </c>
      <c r="E371">
        <v>19516454.8553463</v>
      </c>
    </row>
    <row r="372" spans="1:5" x14ac:dyDescent="0.25">
      <c r="A372" t="s">
        <v>401</v>
      </c>
      <c r="B372">
        <v>7.6527672858346704E-2</v>
      </c>
      <c r="C372" s="5">
        <f t="shared" si="5"/>
        <v>-1.368445466536361E-4</v>
      </c>
      <c r="D372">
        <v>2380966046.7994199</v>
      </c>
      <c r="E372">
        <v>22081790.775327399</v>
      </c>
    </row>
    <row r="373" spans="1:5" x14ac:dyDescent="0.25">
      <c r="A373" t="s">
        <v>402</v>
      </c>
      <c r="B373">
        <v>7.5001089908902294E-2</v>
      </c>
      <c r="C373" s="5">
        <f t="shared" si="5"/>
        <v>-1.9948116706359653E-2</v>
      </c>
      <c r="D373">
        <v>2333470258.22399</v>
      </c>
      <c r="E373">
        <v>31022218.396756899</v>
      </c>
    </row>
    <row r="374" spans="1:5" x14ac:dyDescent="0.25">
      <c r="A374" t="s">
        <v>403</v>
      </c>
      <c r="B374">
        <v>7.4680965031287905E-2</v>
      </c>
      <c r="C374" s="5">
        <f t="shared" si="5"/>
        <v>-4.2682696745236504E-3</v>
      </c>
      <c r="D374">
        <v>2323510377.8844099</v>
      </c>
      <c r="E374">
        <v>26243527.814743701</v>
      </c>
    </row>
    <row r="375" spans="1:5" x14ac:dyDescent="0.25">
      <c r="A375" t="s">
        <v>404</v>
      </c>
      <c r="B375">
        <v>7.4324059926544103E-2</v>
      </c>
      <c r="C375" s="5">
        <f t="shared" si="5"/>
        <v>-4.7790639099839494E-3</v>
      </c>
      <c r="D375">
        <v>2312350096.0104299</v>
      </c>
      <c r="E375">
        <v>25776852.923964601</v>
      </c>
    </row>
    <row r="376" spans="1:5" x14ac:dyDescent="0.25">
      <c r="A376" t="s">
        <v>405</v>
      </c>
      <c r="B376">
        <v>7.4182544557425803E-2</v>
      </c>
      <c r="C376" s="5">
        <f t="shared" si="5"/>
        <v>-1.9040317396299411E-3</v>
      </c>
      <c r="D376">
        <v>2307973630.4846001</v>
      </c>
      <c r="E376">
        <v>30519539.380355999</v>
      </c>
    </row>
    <row r="377" spans="1:5" x14ac:dyDescent="0.25">
      <c r="A377" t="s">
        <v>406</v>
      </c>
      <c r="B377">
        <v>7.2956041335712096E-2</v>
      </c>
      <c r="C377" s="5">
        <f t="shared" si="5"/>
        <v>-1.6533582516359391E-2</v>
      </c>
      <c r="D377">
        <v>2269911926.3042302</v>
      </c>
      <c r="E377">
        <v>27144868.050532799</v>
      </c>
    </row>
    <row r="378" spans="1:5" x14ac:dyDescent="0.25">
      <c r="A378" t="s">
        <v>407</v>
      </c>
      <c r="B378">
        <v>7.3482449733178606E-2</v>
      </c>
      <c r="C378" s="5">
        <f t="shared" si="5"/>
        <v>7.2154188718136503E-3</v>
      </c>
      <c r="D378">
        <v>2285317104.74122</v>
      </c>
      <c r="E378">
        <v>29318523.853630401</v>
      </c>
    </row>
    <row r="379" spans="1:5" x14ac:dyDescent="0.25">
      <c r="A379" t="s">
        <v>408</v>
      </c>
      <c r="B379">
        <v>6.96841779330548E-2</v>
      </c>
      <c r="C379" s="5">
        <f t="shared" si="5"/>
        <v>-5.168950972532449E-2</v>
      </c>
      <c r="D379">
        <v>2168080441.7224898</v>
      </c>
      <c r="E379">
        <v>47327062.211273901</v>
      </c>
    </row>
    <row r="380" spans="1:5" x14ac:dyDescent="0.25">
      <c r="A380" t="s">
        <v>409</v>
      </c>
      <c r="B380">
        <v>6.9995559801416002E-2</v>
      </c>
      <c r="C380" s="5">
        <f t="shared" si="5"/>
        <v>4.4684730106214765E-3</v>
      </c>
      <c r="D380">
        <v>2177662436.4875998</v>
      </c>
      <c r="E380">
        <v>32346620.1854674</v>
      </c>
    </row>
    <row r="381" spans="1:5" x14ac:dyDescent="0.25">
      <c r="A381" t="s">
        <v>410</v>
      </c>
      <c r="B381">
        <v>7.0445185486440506E-2</v>
      </c>
      <c r="C381" s="5">
        <f t="shared" si="5"/>
        <v>6.4236315317733883E-3</v>
      </c>
      <c r="D381">
        <v>2191647000.8604598</v>
      </c>
      <c r="E381">
        <v>30032063.7267409</v>
      </c>
    </row>
    <row r="382" spans="1:5" x14ac:dyDescent="0.25">
      <c r="A382" t="s">
        <v>411</v>
      </c>
      <c r="B382">
        <v>7.1037011984994805E-2</v>
      </c>
      <c r="C382" s="5">
        <f t="shared" si="5"/>
        <v>8.4012341577015537E-3</v>
      </c>
      <c r="D382">
        <v>2210833506.6561699</v>
      </c>
      <c r="E382">
        <v>29976386.2647346</v>
      </c>
    </row>
    <row r="383" spans="1:5" x14ac:dyDescent="0.25">
      <c r="A383" t="s">
        <v>412</v>
      </c>
      <c r="B383">
        <v>7.3171531092654896E-2</v>
      </c>
      <c r="C383" s="5">
        <f t="shared" si="5"/>
        <v>3.0047985522124288E-2</v>
      </c>
      <c r="D383">
        <v>2276564683.51858</v>
      </c>
      <c r="E383">
        <v>38683460.260388598</v>
      </c>
    </row>
    <row r="384" spans="1:5" x14ac:dyDescent="0.25">
      <c r="A384" t="s">
        <v>413</v>
      </c>
      <c r="B384">
        <v>7.1733427020752E-2</v>
      </c>
      <c r="C384" s="5">
        <f t="shared" si="5"/>
        <v>-1.9653874265414317E-2</v>
      </c>
      <c r="D384">
        <v>2231956706.1922302</v>
      </c>
      <c r="E384">
        <v>34685386.423138</v>
      </c>
    </row>
    <row r="385" spans="1:5" x14ac:dyDescent="0.25">
      <c r="A385" t="s">
        <v>414</v>
      </c>
      <c r="B385">
        <v>7.5732711084084997E-2</v>
      </c>
      <c r="C385" s="5">
        <f t="shared" si="5"/>
        <v>5.5752028439628676E-2</v>
      </c>
      <c r="D385">
        <v>2357557057.6042399</v>
      </c>
      <c r="E385">
        <v>98787496.274179593</v>
      </c>
    </row>
    <row r="386" spans="1:5" x14ac:dyDescent="0.25">
      <c r="A386" t="s">
        <v>415</v>
      </c>
      <c r="B386">
        <v>7.6255496980829604E-2</v>
      </c>
      <c r="C386" s="5">
        <f t="shared" si="5"/>
        <v>6.9030395090987628E-3</v>
      </c>
      <c r="D386">
        <v>2372497978.9891601</v>
      </c>
      <c r="E386">
        <v>81082046.233734906</v>
      </c>
    </row>
    <row r="387" spans="1:5" x14ac:dyDescent="0.25">
      <c r="A387" t="s">
        <v>416</v>
      </c>
      <c r="B387">
        <v>8.0897298079632099E-2</v>
      </c>
      <c r="C387" s="5">
        <f t="shared" si="5"/>
        <v>6.0871691649579507E-2</v>
      </c>
      <c r="D387">
        <v>2513450132.0489898</v>
      </c>
      <c r="E387">
        <v>100455935.22288799</v>
      </c>
    </row>
    <row r="388" spans="1:5" x14ac:dyDescent="0.25">
      <c r="A388" t="s">
        <v>417</v>
      </c>
      <c r="B388">
        <v>7.8970674612805297E-2</v>
      </c>
      <c r="C388" s="5">
        <f t="shared" ref="C388:C451" si="6">B388/B387-1</f>
        <v>-2.381567138287255E-2</v>
      </c>
      <c r="D388">
        <v>2457743038.4685402</v>
      </c>
      <c r="E388">
        <v>72024624.756928906</v>
      </c>
    </row>
    <row r="389" spans="1:5" x14ac:dyDescent="0.25">
      <c r="A389" t="s">
        <v>418</v>
      </c>
      <c r="B389">
        <v>7.6995840327416895E-2</v>
      </c>
      <c r="C389" s="5">
        <f t="shared" si="6"/>
        <v>-2.5007185199709236E-2</v>
      </c>
      <c r="D389">
        <v>2400407638.5243402</v>
      </c>
      <c r="E389">
        <v>57360574.310546003</v>
      </c>
    </row>
    <row r="390" spans="1:5" x14ac:dyDescent="0.25">
      <c r="A390" t="s">
        <v>419</v>
      </c>
      <c r="B390">
        <v>7.4665193899361507E-2</v>
      </c>
      <c r="C390" s="5">
        <f t="shared" si="6"/>
        <v>-3.0269770654421824E-2</v>
      </c>
      <c r="D390">
        <v>2323758501.9928699</v>
      </c>
      <c r="E390">
        <v>37538606.358411498</v>
      </c>
    </row>
    <row r="391" spans="1:5" x14ac:dyDescent="0.25">
      <c r="A391" t="s">
        <v>420</v>
      </c>
      <c r="B391">
        <v>7.53744695084059E-2</v>
      </c>
      <c r="C391" s="5">
        <f t="shared" si="6"/>
        <v>9.4994142786315461E-3</v>
      </c>
      <c r="D391">
        <v>2338246519.2541599</v>
      </c>
      <c r="E391">
        <v>18530875.478822801</v>
      </c>
    </row>
    <row r="392" spans="1:5" x14ac:dyDescent="0.25">
      <c r="A392" t="s">
        <v>421</v>
      </c>
      <c r="B392">
        <v>7.6823290869463295E-2</v>
      </c>
      <c r="C392" s="5">
        <f t="shared" si="6"/>
        <v>1.9221645877001148E-2</v>
      </c>
      <c r="D392">
        <v>2390163457.6313701</v>
      </c>
      <c r="E392">
        <v>37089205.090420797</v>
      </c>
    </row>
    <row r="393" spans="1:5" x14ac:dyDescent="0.25">
      <c r="A393" t="s">
        <v>422</v>
      </c>
      <c r="B393">
        <v>7.6381278215339493E-2</v>
      </c>
      <c r="C393" s="5">
        <f t="shared" si="6"/>
        <v>-5.7536282177088616E-3</v>
      </c>
      <c r="D393">
        <v>2376411345.7165999</v>
      </c>
      <c r="E393">
        <v>37244675.537540399</v>
      </c>
    </row>
    <row r="394" spans="1:5" x14ac:dyDescent="0.25">
      <c r="A394" t="s">
        <v>423</v>
      </c>
      <c r="B394">
        <v>7.41255914820559E-2</v>
      </c>
      <c r="C394" s="5">
        <f t="shared" si="6"/>
        <v>-2.9531932248164305E-2</v>
      </c>
      <c r="D394">
        <v>2307587679.80442</v>
      </c>
      <c r="E394">
        <v>33339738.538325299</v>
      </c>
    </row>
    <row r="395" spans="1:5" x14ac:dyDescent="0.25">
      <c r="A395" t="s">
        <v>424</v>
      </c>
      <c r="B395">
        <v>6.5560439990339503E-2</v>
      </c>
      <c r="C395" s="5">
        <f t="shared" si="6"/>
        <v>-0.11554918241414402</v>
      </c>
      <c r="D395">
        <v>2039748182.58444</v>
      </c>
      <c r="E395">
        <v>93846877.988380104</v>
      </c>
    </row>
    <row r="396" spans="1:5" x14ac:dyDescent="0.25">
      <c r="A396" t="s">
        <v>425</v>
      </c>
      <c r="B396">
        <v>6.3949437878178597E-2</v>
      </c>
      <c r="C396" s="5">
        <f t="shared" si="6"/>
        <v>-2.4572777614035091E-2</v>
      </c>
      <c r="D396">
        <v>1990825176.6466601</v>
      </c>
      <c r="E396">
        <v>79764127.511295602</v>
      </c>
    </row>
    <row r="397" spans="1:5" x14ac:dyDescent="0.25">
      <c r="A397" t="s">
        <v>426</v>
      </c>
      <c r="B397">
        <v>6.1398001264816801E-2</v>
      </c>
      <c r="C397" s="5">
        <f t="shared" si="6"/>
        <v>-3.9897717603432081E-2</v>
      </c>
      <c r="D397">
        <v>1912099868.434</v>
      </c>
      <c r="E397">
        <v>57998716.509031899</v>
      </c>
    </row>
    <row r="398" spans="1:5" x14ac:dyDescent="0.25">
      <c r="A398" t="s">
        <v>427</v>
      </c>
      <c r="B398">
        <v>6.1084634733818199E-2</v>
      </c>
      <c r="C398" s="5">
        <f t="shared" si="6"/>
        <v>-5.1038555741743652E-3</v>
      </c>
      <c r="D398">
        <v>1902941574.8670199</v>
      </c>
      <c r="E398">
        <v>27948586.009859402</v>
      </c>
    </row>
    <row r="399" spans="1:5" x14ac:dyDescent="0.25">
      <c r="A399" t="s">
        <v>428</v>
      </c>
      <c r="B399">
        <v>6.2066356176353803E-2</v>
      </c>
      <c r="C399" s="5">
        <f t="shared" si="6"/>
        <v>1.607149566848598E-2</v>
      </c>
      <c r="D399">
        <v>1931136308.4220901</v>
      </c>
      <c r="E399">
        <v>26328644.035761598</v>
      </c>
    </row>
    <row r="400" spans="1:5" x14ac:dyDescent="0.25">
      <c r="A400" t="s">
        <v>429</v>
      </c>
      <c r="B400">
        <v>5.2935797833655998E-2</v>
      </c>
      <c r="C400" s="5">
        <f t="shared" si="6"/>
        <v>-0.14710962436322927</v>
      </c>
      <c r="D400">
        <v>1653110423.8348801</v>
      </c>
      <c r="E400">
        <v>80083328.298111394</v>
      </c>
    </row>
    <row r="401" spans="1:5" x14ac:dyDescent="0.25">
      <c r="A401" t="s">
        <v>430</v>
      </c>
      <c r="B401">
        <v>4.5370031568046802E-2</v>
      </c>
      <c r="C401" s="5">
        <f t="shared" si="6"/>
        <v>-0.14292343886803505</v>
      </c>
      <c r="D401">
        <v>1400510010.3610499</v>
      </c>
      <c r="E401">
        <v>97255026.338402197</v>
      </c>
    </row>
    <row r="402" spans="1:5" x14ac:dyDescent="0.25">
      <c r="A402" t="s">
        <v>431</v>
      </c>
      <c r="B402">
        <v>4.8116377717686301E-2</v>
      </c>
      <c r="C402" s="5">
        <f t="shared" si="6"/>
        <v>6.0532163075982748E-2</v>
      </c>
      <c r="D402">
        <v>1497665041.7953601</v>
      </c>
      <c r="E402">
        <v>63453500.198505402</v>
      </c>
    </row>
    <row r="403" spans="1:5" x14ac:dyDescent="0.25">
      <c r="A403" t="s">
        <v>432</v>
      </c>
      <c r="B403">
        <v>4.3888293576442701E-2</v>
      </c>
      <c r="C403" s="5">
        <f t="shared" si="6"/>
        <v>-8.7872037376775958E-2</v>
      </c>
      <c r="D403">
        <v>1378016442.0988801</v>
      </c>
      <c r="E403">
        <v>35963524.460666597</v>
      </c>
    </row>
    <row r="404" spans="1:5" x14ac:dyDescent="0.25">
      <c r="A404" t="s">
        <v>433</v>
      </c>
      <c r="B404">
        <v>4.4253370810228003E-2</v>
      </c>
      <c r="C404" s="5">
        <f t="shared" si="6"/>
        <v>8.3183282838150685E-3</v>
      </c>
      <c r="D404">
        <v>1376832319.86696</v>
      </c>
      <c r="E404">
        <v>42790645.013458602</v>
      </c>
    </row>
    <row r="405" spans="1:5" x14ac:dyDescent="0.25">
      <c r="A405" t="s">
        <v>434</v>
      </c>
      <c r="B405">
        <v>3.8722242343312598E-2</v>
      </c>
      <c r="C405" s="5">
        <f t="shared" si="6"/>
        <v>-0.12498773236132854</v>
      </c>
      <c r="D405">
        <v>1204780716.43572</v>
      </c>
      <c r="E405">
        <v>44822438.348696701</v>
      </c>
    </row>
    <row r="406" spans="1:5" x14ac:dyDescent="0.25">
      <c r="A406" t="s">
        <v>435</v>
      </c>
      <c r="B406">
        <v>3.8150368516334097E-2</v>
      </c>
      <c r="C406" s="5">
        <f t="shared" si="6"/>
        <v>-1.4768613395584107E-2</v>
      </c>
      <c r="D406">
        <v>1186952754.70368</v>
      </c>
      <c r="E406">
        <v>64818093.350381799</v>
      </c>
    </row>
    <row r="407" spans="1:5" x14ac:dyDescent="0.25">
      <c r="A407" t="s">
        <v>436</v>
      </c>
      <c r="B407">
        <v>3.6105406756788798E-2</v>
      </c>
      <c r="C407" s="5">
        <f t="shared" si="6"/>
        <v>-5.3602673816106061E-2</v>
      </c>
      <c r="D407">
        <v>1128573226.5397601</v>
      </c>
      <c r="E407">
        <v>52775767.163194403</v>
      </c>
    </row>
    <row r="408" spans="1:5" x14ac:dyDescent="0.25">
      <c r="A408" t="s">
        <v>437</v>
      </c>
      <c r="B408">
        <v>3.6696161885593902E-2</v>
      </c>
      <c r="C408" s="5">
        <f t="shared" si="6"/>
        <v>1.6361957442676545E-2</v>
      </c>
      <c r="D408">
        <v>1141712636.37554</v>
      </c>
      <c r="E408">
        <v>34756609.8330357</v>
      </c>
    </row>
    <row r="409" spans="1:5" x14ac:dyDescent="0.25">
      <c r="A409" t="s">
        <v>438</v>
      </c>
      <c r="B409">
        <v>4.2043285274768701E-2</v>
      </c>
      <c r="C409" s="5">
        <f t="shared" si="6"/>
        <v>0.14571342381378471</v>
      </c>
      <c r="D409">
        <v>1309683378.1296401</v>
      </c>
      <c r="E409">
        <v>73417017.977825493</v>
      </c>
    </row>
    <row r="410" spans="1:5" x14ac:dyDescent="0.25">
      <c r="A410" t="s">
        <v>439</v>
      </c>
      <c r="B410">
        <v>4.1841984794132002E-2</v>
      </c>
      <c r="C410" s="5">
        <f t="shared" si="6"/>
        <v>-4.7879341331469316E-3</v>
      </c>
      <c r="D410">
        <v>1300488688.4848399</v>
      </c>
      <c r="E410">
        <v>68947905.073329002</v>
      </c>
    </row>
    <row r="411" spans="1:5" x14ac:dyDescent="0.25">
      <c r="A411" t="s">
        <v>440</v>
      </c>
      <c r="B411">
        <v>3.9059898679807199E-2</v>
      </c>
      <c r="C411" s="5">
        <f t="shared" si="6"/>
        <v>-6.6490299827147936E-2</v>
      </c>
      <c r="D411">
        <v>1214174049.5144401</v>
      </c>
      <c r="E411">
        <v>47948790.026166603</v>
      </c>
    </row>
    <row r="412" spans="1:5" x14ac:dyDescent="0.25">
      <c r="A412" t="s">
        <v>441</v>
      </c>
      <c r="B412">
        <v>4.1439856183778899E-2</v>
      </c>
      <c r="C412" s="5">
        <f t="shared" si="6"/>
        <v>6.0930969726300521E-2</v>
      </c>
      <c r="D412">
        <v>1292067447.29673</v>
      </c>
      <c r="E412">
        <v>36918151.030777499</v>
      </c>
    </row>
    <row r="413" spans="1:5" x14ac:dyDescent="0.25">
      <c r="A413" t="s">
        <v>442</v>
      </c>
      <c r="B413">
        <v>4.1502588420887901E-2</v>
      </c>
      <c r="C413" s="5">
        <f t="shared" si="6"/>
        <v>1.5138140641897113E-3</v>
      </c>
      <c r="D413">
        <v>1289518010.2954299</v>
      </c>
      <c r="E413">
        <v>40133607.702426098</v>
      </c>
    </row>
    <row r="414" spans="1:5" x14ac:dyDescent="0.25">
      <c r="A414" t="s">
        <v>443</v>
      </c>
      <c r="B414">
        <v>3.8869852691612999E-2</v>
      </c>
      <c r="C414" s="5">
        <f t="shared" si="6"/>
        <v>-6.3435458592984273E-2</v>
      </c>
      <c r="D414">
        <v>1211960522.0573101</v>
      </c>
      <c r="E414">
        <v>37504655.859442398</v>
      </c>
    </row>
    <row r="415" spans="1:5" x14ac:dyDescent="0.25">
      <c r="A415" t="s">
        <v>444</v>
      </c>
      <c r="B415">
        <v>3.7591800450774801E-2</v>
      </c>
      <c r="C415" s="5">
        <f t="shared" si="6"/>
        <v>-3.2880295456174102E-2</v>
      </c>
      <c r="D415">
        <v>1169458431.3039501</v>
      </c>
      <c r="E415">
        <v>37061957.406346202</v>
      </c>
    </row>
    <row r="416" spans="1:5" x14ac:dyDescent="0.25">
      <c r="A416" t="s">
        <v>445</v>
      </c>
      <c r="B416">
        <v>3.4462596794405102E-2</v>
      </c>
      <c r="C416" s="5">
        <f t="shared" si="6"/>
        <v>-8.3241654266261733E-2</v>
      </c>
      <c r="D416">
        <v>1074131854.8499801</v>
      </c>
      <c r="E416">
        <v>38312801.362281099</v>
      </c>
    </row>
    <row r="417" spans="1:5" x14ac:dyDescent="0.25">
      <c r="A417" t="s">
        <v>446</v>
      </c>
      <c r="B417">
        <v>3.0512031839958799E-2</v>
      </c>
      <c r="C417" s="5">
        <f t="shared" si="6"/>
        <v>-0.11463340902643948</v>
      </c>
      <c r="D417">
        <v>949289949.083009</v>
      </c>
      <c r="E417">
        <v>38102028.720420398</v>
      </c>
    </row>
    <row r="418" spans="1:5" x14ac:dyDescent="0.25">
      <c r="A418" t="s">
        <v>447</v>
      </c>
      <c r="B418">
        <v>2.9732205650799499E-2</v>
      </c>
      <c r="C418" s="5">
        <f t="shared" si="6"/>
        <v>-2.5557989492460909E-2</v>
      </c>
      <c r="D418">
        <v>920350290.52652299</v>
      </c>
      <c r="E418">
        <v>55396612.939466</v>
      </c>
    </row>
    <row r="419" spans="1:5" x14ac:dyDescent="0.25">
      <c r="A419" t="s">
        <v>448</v>
      </c>
      <c r="B419">
        <v>3.0388027109546498E-2</v>
      </c>
      <c r="C419" s="5">
        <f t="shared" si="6"/>
        <v>2.2057612087361678E-2</v>
      </c>
      <c r="D419">
        <v>943243023.49648905</v>
      </c>
      <c r="E419">
        <v>38193837.000710703</v>
      </c>
    </row>
    <row r="420" spans="1:5" x14ac:dyDescent="0.25">
      <c r="A420" t="s">
        <v>449</v>
      </c>
      <c r="B420">
        <v>3.1334755252391398E-2</v>
      </c>
      <c r="C420" s="5">
        <f t="shared" si="6"/>
        <v>3.1154643222872647E-2</v>
      </c>
      <c r="D420">
        <v>975080539.86979306</v>
      </c>
      <c r="E420">
        <v>31670290.098473299</v>
      </c>
    </row>
    <row r="421" spans="1:5" x14ac:dyDescent="0.25">
      <c r="A421" t="s">
        <v>450</v>
      </c>
      <c r="B421">
        <v>2.9765125543281701E-2</v>
      </c>
      <c r="C421" s="5">
        <f t="shared" si="6"/>
        <v>-5.0092291976332137E-2</v>
      </c>
      <c r="D421">
        <v>926561842.76422501</v>
      </c>
      <c r="E421">
        <v>24273563.308994401</v>
      </c>
    </row>
    <row r="422" spans="1:5" x14ac:dyDescent="0.25">
      <c r="A422" t="s">
        <v>451</v>
      </c>
      <c r="B422">
        <v>2.9338150445993701E-2</v>
      </c>
      <c r="C422" s="5">
        <f t="shared" si="6"/>
        <v>-1.4344810898483606E-2</v>
      </c>
      <c r="D422">
        <v>914570155.67692697</v>
      </c>
      <c r="E422">
        <v>19522549.341291301</v>
      </c>
    </row>
    <row r="423" spans="1:5" x14ac:dyDescent="0.25">
      <c r="A423" t="s">
        <v>452</v>
      </c>
      <c r="B423">
        <v>3.0274979133229001E-2</v>
      </c>
      <c r="C423" s="5">
        <f t="shared" si="6"/>
        <v>3.193209772919503E-2</v>
      </c>
      <c r="D423">
        <v>941930102.135378</v>
      </c>
      <c r="E423">
        <v>20225412.691844899</v>
      </c>
    </row>
    <row r="424" spans="1:5" x14ac:dyDescent="0.25">
      <c r="A424" t="s">
        <v>453</v>
      </c>
      <c r="B424">
        <v>2.90656453818601E-2</v>
      </c>
      <c r="C424" s="5">
        <f t="shared" si="6"/>
        <v>-3.9944990417567938E-2</v>
      </c>
      <c r="D424">
        <v>903827129.47415805</v>
      </c>
      <c r="E424">
        <v>20222699.194573902</v>
      </c>
    </row>
    <row r="425" spans="1:5" x14ac:dyDescent="0.25">
      <c r="A425" t="s">
        <v>454</v>
      </c>
      <c r="B425">
        <v>2.82949755843892E-2</v>
      </c>
      <c r="C425" s="5">
        <f t="shared" si="6"/>
        <v>-2.6514800801632155E-2</v>
      </c>
      <c r="D425">
        <v>880783985.32785594</v>
      </c>
      <c r="E425">
        <v>17868475.6719696</v>
      </c>
    </row>
    <row r="426" spans="1:5" x14ac:dyDescent="0.25">
      <c r="A426" t="s">
        <v>455</v>
      </c>
      <c r="B426">
        <v>2.7689999853200201E-2</v>
      </c>
      <c r="C426" s="5">
        <f t="shared" si="6"/>
        <v>-2.1381030331150908E-2</v>
      </c>
      <c r="D426">
        <v>861676702.49839199</v>
      </c>
      <c r="E426">
        <v>14545306.5315923</v>
      </c>
    </row>
    <row r="427" spans="1:5" x14ac:dyDescent="0.25">
      <c r="A427" t="s">
        <v>456</v>
      </c>
      <c r="B427">
        <v>2.8878524789671001E-2</v>
      </c>
      <c r="C427" s="5">
        <f t="shared" si="6"/>
        <v>4.2922533144522212E-2</v>
      </c>
      <c r="D427">
        <v>900504999.170151</v>
      </c>
      <c r="E427">
        <v>19160146.728193998</v>
      </c>
    </row>
    <row r="428" spans="1:5" x14ac:dyDescent="0.25">
      <c r="A428" t="s">
        <v>457</v>
      </c>
      <c r="B428">
        <v>3.2245559194323703E-2</v>
      </c>
      <c r="C428" s="5">
        <f t="shared" si="6"/>
        <v>0.11659301952490986</v>
      </c>
      <c r="D428">
        <v>1004878991.2148</v>
      </c>
      <c r="E428">
        <v>52974247.879442103</v>
      </c>
    </row>
    <row r="429" spans="1:5" x14ac:dyDescent="0.25">
      <c r="A429" t="s">
        <v>458</v>
      </c>
      <c r="B429">
        <v>3.45553600800836E-2</v>
      </c>
      <c r="C429" s="5">
        <f t="shared" si="6"/>
        <v>7.1631596519699858E-2</v>
      </c>
      <c r="D429">
        <v>1074756180.67734</v>
      </c>
      <c r="E429">
        <v>98129197.009396598</v>
      </c>
    </row>
    <row r="430" spans="1:5" x14ac:dyDescent="0.25">
      <c r="A430" t="s">
        <v>459</v>
      </c>
      <c r="B430">
        <v>3.48970629704424E-2</v>
      </c>
      <c r="C430" s="5">
        <f t="shared" si="6"/>
        <v>9.8885640192112323E-3</v>
      </c>
      <c r="D430">
        <v>1085366192.4291899</v>
      </c>
      <c r="E430">
        <v>74737204.019280106</v>
      </c>
    </row>
    <row r="431" spans="1:5" x14ac:dyDescent="0.25">
      <c r="A431" t="s">
        <v>460</v>
      </c>
      <c r="B431">
        <v>3.8880258550837099E-2</v>
      </c>
      <c r="C431" s="5">
        <f t="shared" si="6"/>
        <v>0.11414128414670421</v>
      </c>
      <c r="D431">
        <v>1199835202.75576</v>
      </c>
      <c r="E431">
        <v>77441585.709475607</v>
      </c>
    </row>
    <row r="432" spans="1:5" x14ac:dyDescent="0.25">
      <c r="A432" t="s">
        <v>461</v>
      </c>
      <c r="B432">
        <v>4.0443056235332002E-2</v>
      </c>
      <c r="C432" s="5">
        <f t="shared" si="6"/>
        <v>4.0195146399335302E-2</v>
      </c>
      <c r="D432">
        <v>1258909130.37203</v>
      </c>
      <c r="E432">
        <v>133155437.34813</v>
      </c>
    </row>
    <row r="433" spans="1:5" x14ac:dyDescent="0.25">
      <c r="A433" t="s">
        <v>462</v>
      </c>
      <c r="B433">
        <v>4.1620704573098598E-2</v>
      </c>
      <c r="C433" s="5">
        <f t="shared" si="6"/>
        <v>2.9118678146232035E-2</v>
      </c>
      <c r="D433">
        <v>1293383283.20439</v>
      </c>
      <c r="E433">
        <v>66346799.150624298</v>
      </c>
    </row>
    <row r="434" spans="1:5" x14ac:dyDescent="0.25">
      <c r="A434" t="s">
        <v>463</v>
      </c>
      <c r="B434">
        <v>4.3796083218113298E-2</v>
      </c>
      <c r="C434" s="5">
        <f t="shared" si="6"/>
        <v>5.2266742414080802E-2</v>
      </c>
      <c r="D434">
        <v>1361660638.4591999</v>
      </c>
      <c r="E434">
        <v>72520518.820758507</v>
      </c>
    </row>
    <row r="435" spans="1:5" x14ac:dyDescent="0.25">
      <c r="A435" t="s">
        <v>464</v>
      </c>
      <c r="B435">
        <v>4.5302327592826597E-2</v>
      </c>
      <c r="C435" s="5">
        <f t="shared" si="6"/>
        <v>3.4392216473146719E-2</v>
      </c>
      <c r="D435">
        <v>1413864024.68452</v>
      </c>
      <c r="E435">
        <v>101879715.717582</v>
      </c>
    </row>
    <row r="436" spans="1:5" x14ac:dyDescent="0.25">
      <c r="A436" t="s">
        <v>465</v>
      </c>
      <c r="B436">
        <v>4.0756836954769997E-2</v>
      </c>
      <c r="C436" s="5">
        <f t="shared" si="6"/>
        <v>-0.10033680121054878</v>
      </c>
      <c r="D436">
        <v>1267316261.8678401</v>
      </c>
      <c r="E436">
        <v>73794109.001485407</v>
      </c>
    </row>
    <row r="437" spans="1:5" x14ac:dyDescent="0.25">
      <c r="A437" t="s">
        <v>466</v>
      </c>
      <c r="B437">
        <v>4.04774869069017E-2</v>
      </c>
      <c r="C437" s="5">
        <f t="shared" si="6"/>
        <v>-6.8540659369201729E-3</v>
      </c>
      <c r="D437">
        <v>1259194587.02125</v>
      </c>
      <c r="E437">
        <v>45342211.889852501</v>
      </c>
    </row>
    <row r="438" spans="1:5" x14ac:dyDescent="0.25">
      <c r="A438" t="s">
        <v>467</v>
      </c>
      <c r="B438">
        <v>3.7244462674293197E-2</v>
      </c>
      <c r="C438" s="5">
        <f t="shared" si="6"/>
        <v>-7.9872158072571642E-2</v>
      </c>
      <c r="D438">
        <v>1160651701.2339699</v>
      </c>
      <c r="E438">
        <v>42655678.855130099</v>
      </c>
    </row>
    <row r="439" spans="1:5" x14ac:dyDescent="0.25">
      <c r="A439" t="s">
        <v>468</v>
      </c>
      <c r="B439">
        <v>4.0863763755849498E-2</v>
      </c>
      <c r="C439" s="5">
        <f t="shared" si="6"/>
        <v>9.7176890782596947E-2</v>
      </c>
      <c r="D439">
        <v>1271373222.4316299</v>
      </c>
      <c r="E439">
        <v>42206777.412837699</v>
      </c>
    </row>
    <row r="440" spans="1:5" x14ac:dyDescent="0.25">
      <c r="A440" t="s">
        <v>469</v>
      </c>
      <c r="B440">
        <v>4.0636750273385903E-2</v>
      </c>
      <c r="C440" s="5">
        <f t="shared" si="6"/>
        <v>-5.5553737981636209E-3</v>
      </c>
      <c r="D440">
        <v>1305744091.57482</v>
      </c>
      <c r="E440">
        <v>44315928.153971799</v>
      </c>
    </row>
    <row r="441" spans="1:5" x14ac:dyDescent="0.25">
      <c r="A441" t="s">
        <v>470</v>
      </c>
      <c r="B441">
        <v>4.2738421279768998E-2</v>
      </c>
      <c r="C441" s="5">
        <f t="shared" si="6"/>
        <v>5.1718481232972291E-2</v>
      </c>
      <c r="D441">
        <v>1328117219.6788099</v>
      </c>
      <c r="E441">
        <v>50126345.500570998</v>
      </c>
    </row>
    <row r="442" spans="1:5" x14ac:dyDescent="0.25">
      <c r="A442" t="s">
        <v>471</v>
      </c>
      <c r="B442">
        <v>4.0537179730259602E-2</v>
      </c>
      <c r="C442" s="5">
        <f t="shared" si="6"/>
        <v>-5.150498038053164E-2</v>
      </c>
      <c r="D442">
        <v>1261212381.9498401</v>
      </c>
      <c r="E442">
        <v>39848087.720028602</v>
      </c>
    </row>
    <row r="443" spans="1:5" x14ac:dyDescent="0.25">
      <c r="A443" t="s">
        <v>472</v>
      </c>
      <c r="B443">
        <v>4.19102393965122E-2</v>
      </c>
      <c r="C443" s="5">
        <f t="shared" si="6"/>
        <v>3.387161305717723E-2</v>
      </c>
      <c r="D443">
        <v>1303853661.96664</v>
      </c>
      <c r="E443">
        <v>28425239.8493606</v>
      </c>
    </row>
    <row r="444" spans="1:5" x14ac:dyDescent="0.25">
      <c r="A444" t="s">
        <v>473</v>
      </c>
      <c r="B444">
        <v>4.47145090431127E-2</v>
      </c>
      <c r="C444" s="5">
        <f t="shared" si="6"/>
        <v>6.6911324940650996E-2</v>
      </c>
      <c r="D444">
        <v>1391808205.6938601</v>
      </c>
      <c r="E444">
        <v>43321551.769508503</v>
      </c>
    </row>
    <row r="445" spans="1:5" x14ac:dyDescent="0.25">
      <c r="A445" t="s">
        <v>474</v>
      </c>
      <c r="B445">
        <v>4.2006788207089099E-2</v>
      </c>
      <c r="C445" s="5">
        <f t="shared" si="6"/>
        <v>-6.0555754585449595E-2</v>
      </c>
      <c r="D445">
        <v>1307372469.3041601</v>
      </c>
      <c r="E445">
        <v>39412155.331753097</v>
      </c>
    </row>
    <row r="446" spans="1:5" x14ac:dyDescent="0.25">
      <c r="A446" t="s">
        <v>475</v>
      </c>
      <c r="B446">
        <v>4.3253513676130999E-2</v>
      </c>
      <c r="C446" s="5">
        <f t="shared" si="6"/>
        <v>2.9679142877947928E-2</v>
      </c>
      <c r="D446">
        <v>1345613019.4569199</v>
      </c>
      <c r="E446">
        <v>33701219.849120997</v>
      </c>
    </row>
    <row r="447" spans="1:5" x14ac:dyDescent="0.25">
      <c r="A447" t="s">
        <v>476</v>
      </c>
      <c r="B447">
        <v>4.42038245126525E-2</v>
      </c>
      <c r="C447" s="5">
        <f t="shared" si="6"/>
        <v>2.1970719965946239E-2</v>
      </c>
      <c r="D447">
        <v>1374212784.49791</v>
      </c>
      <c r="E447">
        <v>43293703.893362299</v>
      </c>
    </row>
    <row r="448" spans="1:5" x14ac:dyDescent="0.25">
      <c r="A448" t="s">
        <v>477</v>
      </c>
      <c r="B448">
        <v>4.8449481006463402E-2</v>
      </c>
      <c r="C448" s="5">
        <f t="shared" si="6"/>
        <v>9.6047266059425818E-2</v>
      </c>
      <c r="D448">
        <v>1507173809.5645499</v>
      </c>
      <c r="E448">
        <v>81335647.594411805</v>
      </c>
    </row>
    <row r="449" spans="1:5" x14ac:dyDescent="0.25">
      <c r="A449" t="s">
        <v>478</v>
      </c>
      <c r="B449">
        <v>4.7388099522728197E-2</v>
      </c>
      <c r="C449" s="5">
        <f t="shared" si="6"/>
        <v>-2.1906973236588634E-2</v>
      </c>
      <c r="D449">
        <v>1475778727.0006499</v>
      </c>
      <c r="E449">
        <v>78333814.792001799</v>
      </c>
    </row>
    <row r="450" spans="1:5" x14ac:dyDescent="0.25">
      <c r="A450" t="s">
        <v>479</v>
      </c>
      <c r="B450">
        <v>4.7832112599073398E-2</v>
      </c>
      <c r="C450" s="5">
        <f t="shared" si="6"/>
        <v>9.3697168870898739E-3</v>
      </c>
      <c r="D450">
        <v>1493527571.9272399</v>
      </c>
      <c r="E450">
        <v>62710757.665693097</v>
      </c>
    </row>
    <row r="451" spans="1:5" x14ac:dyDescent="0.25">
      <c r="A451" t="s">
        <v>480</v>
      </c>
      <c r="B451">
        <v>5.1379342496223397E-2</v>
      </c>
      <c r="C451" s="5">
        <f t="shared" si="6"/>
        <v>7.4160008922932619E-2</v>
      </c>
      <c r="D451">
        <v>1597721781.8731999</v>
      </c>
      <c r="E451">
        <v>84845665.600890204</v>
      </c>
    </row>
    <row r="452" spans="1:5" x14ac:dyDescent="0.25">
      <c r="A452" t="s">
        <v>481</v>
      </c>
      <c r="B452">
        <v>4.3960678498555401E-2</v>
      </c>
      <c r="C452" s="5">
        <f t="shared" ref="C452:C515" si="7">B452/B451-1</f>
        <v>-0.14439001429832032</v>
      </c>
      <c r="D452">
        <v>1364905851.89417</v>
      </c>
      <c r="E452">
        <v>125760658.318231</v>
      </c>
    </row>
    <row r="453" spans="1:5" x14ac:dyDescent="0.25">
      <c r="A453" t="s">
        <v>482</v>
      </c>
      <c r="B453">
        <v>4.3339200170542998E-2</v>
      </c>
      <c r="C453" s="5">
        <f t="shared" si="7"/>
        <v>-1.4137141400873188E-2</v>
      </c>
      <c r="D453">
        <v>1345475396.1491799</v>
      </c>
      <c r="E453">
        <v>63187944.162290499</v>
      </c>
    </row>
    <row r="454" spans="1:5" x14ac:dyDescent="0.25">
      <c r="A454" t="s">
        <v>483</v>
      </c>
      <c r="B454">
        <v>4.3068001139726801E-2</v>
      </c>
      <c r="C454" s="5">
        <f t="shared" si="7"/>
        <v>-6.2575919663724333E-3</v>
      </c>
      <c r="D454">
        <v>1340199998.9334199</v>
      </c>
      <c r="E454">
        <v>38928056.391601101</v>
      </c>
    </row>
    <row r="455" spans="1:5" x14ac:dyDescent="0.25">
      <c r="A455" t="s">
        <v>484</v>
      </c>
      <c r="B455">
        <v>3.9570683187895701E-2</v>
      </c>
      <c r="C455" s="5">
        <f t="shared" si="7"/>
        <v>-8.1204556962944374E-2</v>
      </c>
      <c r="D455">
        <v>1228609037.96768</v>
      </c>
      <c r="E455">
        <v>36923377.866637498</v>
      </c>
    </row>
    <row r="456" spans="1:5" x14ac:dyDescent="0.25">
      <c r="A456" t="s">
        <v>485</v>
      </c>
      <c r="B456">
        <v>4.3421969695912603E-2</v>
      </c>
      <c r="C456" s="5">
        <f t="shared" si="7"/>
        <v>9.7326763091999835E-2</v>
      </c>
      <c r="D456">
        <v>1349921731.8845</v>
      </c>
      <c r="E456">
        <v>46991904.800733097</v>
      </c>
    </row>
    <row r="457" spans="1:5" x14ac:dyDescent="0.25">
      <c r="A457" t="s">
        <v>486</v>
      </c>
      <c r="B457">
        <v>4.2207064638792098E-2</v>
      </c>
      <c r="C457" s="5">
        <f t="shared" si="7"/>
        <v>-2.7979040693652979E-2</v>
      </c>
      <c r="D457">
        <v>1312610496.9720199</v>
      </c>
      <c r="E457">
        <v>44720875.3145326</v>
      </c>
    </row>
    <row r="458" spans="1:5" x14ac:dyDescent="0.25">
      <c r="A458" t="s">
        <v>487</v>
      </c>
      <c r="B458">
        <v>4.4124388754130398E-2</v>
      </c>
      <c r="C458" s="5">
        <f t="shared" si="7"/>
        <v>4.5426615940879822E-2</v>
      </c>
      <c r="D458">
        <v>1373439554.0270901</v>
      </c>
      <c r="E458">
        <v>55013701.8992116</v>
      </c>
    </row>
    <row r="459" spans="1:5" x14ac:dyDescent="0.25">
      <c r="A459" t="s">
        <v>488</v>
      </c>
      <c r="B459">
        <v>4.4726995298034103E-2</v>
      </c>
      <c r="C459" s="5">
        <f t="shared" si="7"/>
        <v>1.3656994712414994E-2</v>
      </c>
      <c r="D459">
        <v>1391343341.6047499</v>
      </c>
      <c r="E459">
        <v>60179613.104692601</v>
      </c>
    </row>
    <row r="460" spans="1:5" x14ac:dyDescent="0.25">
      <c r="A460" t="s">
        <v>489</v>
      </c>
      <c r="B460">
        <v>4.3734276708546002E-2</v>
      </c>
      <c r="C460" s="5">
        <f t="shared" si="7"/>
        <v>-2.2195065482785381E-2</v>
      </c>
      <c r="D460">
        <v>1360373389.2831299</v>
      </c>
      <c r="E460">
        <v>36466188.480174698</v>
      </c>
    </row>
    <row r="461" spans="1:5" x14ac:dyDescent="0.25">
      <c r="A461" t="s">
        <v>490</v>
      </c>
      <c r="B461">
        <v>4.5107177036213697E-2</v>
      </c>
      <c r="C461" s="5">
        <f t="shared" si="7"/>
        <v>3.1391860823879236E-2</v>
      </c>
      <c r="D461">
        <v>1403904599.9661901</v>
      </c>
      <c r="E461">
        <v>40905023.302845903</v>
      </c>
    </row>
    <row r="462" spans="1:5" x14ac:dyDescent="0.25">
      <c r="A462" t="s">
        <v>491</v>
      </c>
      <c r="B462">
        <v>4.29194591760651E-2</v>
      </c>
      <c r="C462" s="5">
        <f t="shared" si="7"/>
        <v>-4.8500438375742694E-2</v>
      </c>
      <c r="D462">
        <v>1336300026.6140599</v>
      </c>
      <c r="E462">
        <v>42961757.039437003</v>
      </c>
    </row>
    <row r="463" spans="1:5" x14ac:dyDescent="0.25">
      <c r="A463" t="s">
        <v>492</v>
      </c>
      <c r="B463">
        <v>4.2532992949492303E-2</v>
      </c>
      <c r="C463" s="5">
        <f t="shared" si="7"/>
        <v>-9.0044523857448766E-3</v>
      </c>
      <c r="D463">
        <v>1323846308.8404701</v>
      </c>
      <c r="E463">
        <v>31403250.110925201</v>
      </c>
    </row>
    <row r="464" spans="1:5" x14ac:dyDescent="0.25">
      <c r="A464" t="s">
        <v>493</v>
      </c>
      <c r="B464">
        <v>4.3256168194204699E-2</v>
      </c>
      <c r="C464" s="5">
        <f t="shared" si="7"/>
        <v>1.7002688843720914E-2</v>
      </c>
      <c r="D464">
        <v>1344851595.90292</v>
      </c>
      <c r="E464">
        <v>37271610.771619998</v>
      </c>
    </row>
    <row r="465" spans="1:5" x14ac:dyDescent="0.25">
      <c r="A465" t="s">
        <v>494</v>
      </c>
      <c r="B465">
        <v>4.2621656179951603E-2</v>
      </c>
      <c r="C465" s="5">
        <f t="shared" si="7"/>
        <v>-1.4668706007530896E-2</v>
      </c>
      <c r="D465">
        <v>1326065623.4858301</v>
      </c>
      <c r="E465">
        <v>26155328.970643401</v>
      </c>
    </row>
    <row r="466" spans="1:5" x14ac:dyDescent="0.25">
      <c r="A466" t="s">
        <v>495</v>
      </c>
      <c r="B466">
        <v>4.2706203063034798E-2</v>
      </c>
      <c r="C466" s="5">
        <f t="shared" si="7"/>
        <v>1.9836602014298155E-3</v>
      </c>
      <c r="D466">
        <v>1329785868.60004</v>
      </c>
      <c r="E466">
        <v>24319382.8713682</v>
      </c>
    </row>
    <row r="467" spans="1:5" x14ac:dyDescent="0.25">
      <c r="A467" t="s">
        <v>496</v>
      </c>
      <c r="B467">
        <v>4.2375349990540802E-2</v>
      </c>
      <c r="C467" s="5">
        <f t="shared" si="7"/>
        <v>-7.7471900746046707E-3</v>
      </c>
      <c r="D467">
        <v>1318405189.46668</v>
      </c>
      <c r="E467">
        <v>22993374.156122401</v>
      </c>
    </row>
    <row r="468" spans="1:5" x14ac:dyDescent="0.25">
      <c r="A468" t="s">
        <v>497</v>
      </c>
      <c r="B468">
        <v>4.2400539088904003E-2</v>
      </c>
      <c r="C468" s="5">
        <f t="shared" si="7"/>
        <v>5.9442809012377751E-4</v>
      </c>
      <c r="D468">
        <v>1319310449.00366</v>
      </c>
      <c r="E468">
        <v>23459405.9130373</v>
      </c>
    </row>
    <row r="469" spans="1:5" x14ac:dyDescent="0.25">
      <c r="A469" t="s">
        <v>498</v>
      </c>
      <c r="B469">
        <v>4.0917521795868897E-2</v>
      </c>
      <c r="C469" s="5">
        <f t="shared" si="7"/>
        <v>-3.497637824664368E-2</v>
      </c>
      <c r="D469">
        <v>1272424761.1333101</v>
      </c>
      <c r="E469">
        <v>31462595.4949372</v>
      </c>
    </row>
    <row r="470" spans="1:5" x14ac:dyDescent="0.25">
      <c r="A470" t="s">
        <v>499</v>
      </c>
      <c r="B470">
        <v>3.8450036346304499E-2</v>
      </c>
      <c r="C470" s="5">
        <f t="shared" si="7"/>
        <v>-6.0303883061987418E-2</v>
      </c>
      <c r="D470">
        <v>1196276165.4625399</v>
      </c>
      <c r="E470">
        <v>47046465.610525303</v>
      </c>
    </row>
    <row r="471" spans="1:5" x14ac:dyDescent="0.25">
      <c r="A471" t="s">
        <v>500</v>
      </c>
      <c r="B471">
        <v>3.7970569740954599E-2</v>
      </c>
      <c r="C471" s="5">
        <f t="shared" si="7"/>
        <v>-1.2469860913303932E-2</v>
      </c>
      <c r="D471">
        <v>1181459627.4495699</v>
      </c>
      <c r="E471">
        <v>32538836.958173301</v>
      </c>
    </row>
    <row r="472" spans="1:5" x14ac:dyDescent="0.25">
      <c r="A472" t="s">
        <v>501</v>
      </c>
      <c r="B472">
        <v>3.9416121810877801E-2</v>
      </c>
      <c r="C472" s="5">
        <f t="shared" si="7"/>
        <v>3.8070328672578313E-2</v>
      </c>
      <c r="D472">
        <v>1226333484.6458001</v>
      </c>
      <c r="E472">
        <v>37062014.797821201</v>
      </c>
    </row>
    <row r="473" spans="1:5" x14ac:dyDescent="0.25">
      <c r="A473" t="s">
        <v>502</v>
      </c>
      <c r="B473">
        <v>3.8157892858605297E-2</v>
      </c>
      <c r="C473" s="5">
        <f t="shared" si="7"/>
        <v>-3.1921683170901605E-2</v>
      </c>
      <c r="D473">
        <v>1187186855.6870699</v>
      </c>
      <c r="E473">
        <v>30894039.174708899</v>
      </c>
    </row>
    <row r="474" spans="1:5" x14ac:dyDescent="0.25">
      <c r="A474" t="s">
        <v>503</v>
      </c>
      <c r="B474">
        <v>3.8652984978883698E-2</v>
      </c>
      <c r="C474" s="5">
        <f t="shared" si="7"/>
        <v>1.2974828618366629E-2</v>
      </c>
      <c r="D474">
        <v>1204019830.17788</v>
      </c>
      <c r="E474">
        <v>31452647.0547866</v>
      </c>
    </row>
    <row r="475" spans="1:5" x14ac:dyDescent="0.25">
      <c r="A475" t="s">
        <v>504</v>
      </c>
      <c r="B475">
        <v>3.9022422639798798E-2</v>
      </c>
      <c r="C475" s="5">
        <f t="shared" si="7"/>
        <v>9.557804167438233E-3</v>
      </c>
      <c r="D475">
        <v>1207406299.9828899</v>
      </c>
      <c r="E475">
        <v>21458195.775504299</v>
      </c>
    </row>
    <row r="476" spans="1:5" x14ac:dyDescent="0.25">
      <c r="A476" t="s">
        <v>505</v>
      </c>
      <c r="B476">
        <v>3.8074529529785302E-2</v>
      </c>
      <c r="C476" s="5">
        <f t="shared" si="7"/>
        <v>-2.4290985692075995E-2</v>
      </c>
      <c r="D476">
        <v>1185975550.2741399</v>
      </c>
      <c r="E476">
        <v>20436393.8984426</v>
      </c>
    </row>
    <row r="477" spans="1:5" x14ac:dyDescent="0.25">
      <c r="A477" t="s">
        <v>506</v>
      </c>
      <c r="B477">
        <v>3.7955208095630001E-2</v>
      </c>
      <c r="C477" s="5">
        <f t="shared" si="7"/>
        <v>-3.1338912293573662E-3</v>
      </c>
      <c r="D477">
        <v>1180880829.1110201</v>
      </c>
      <c r="E477">
        <v>20337416.673156299</v>
      </c>
    </row>
    <row r="478" spans="1:5" x14ac:dyDescent="0.25">
      <c r="A478" t="s">
        <v>507</v>
      </c>
      <c r="B478">
        <v>3.7962734030774402E-2</v>
      </c>
      <c r="C478" s="5">
        <f t="shared" si="7"/>
        <v>1.9828464977567073E-4</v>
      </c>
      <c r="D478">
        <v>1181114979.6526501</v>
      </c>
      <c r="E478">
        <v>21305756.414824098</v>
      </c>
    </row>
    <row r="479" spans="1:5" x14ac:dyDescent="0.25">
      <c r="A479" t="s">
        <v>508</v>
      </c>
      <c r="B479">
        <v>3.6725974036606102E-2</v>
      </c>
      <c r="C479" s="5">
        <f t="shared" si="7"/>
        <v>-3.2578264599323226E-2</v>
      </c>
      <c r="D479">
        <v>1142636303.3232999</v>
      </c>
      <c r="E479">
        <v>28173078.1336192</v>
      </c>
    </row>
    <row r="480" spans="1:5" x14ac:dyDescent="0.25">
      <c r="A480" t="s">
        <v>509</v>
      </c>
      <c r="B480">
        <v>3.64118912910519E-2</v>
      </c>
      <c r="C480" s="5">
        <f t="shared" si="7"/>
        <v>-8.5520603276891816E-3</v>
      </c>
      <c r="D480">
        <v>1133031277.2385399</v>
      </c>
      <c r="E480">
        <v>22393690.1926484</v>
      </c>
    </row>
    <row r="481" spans="1:5" x14ac:dyDescent="0.25">
      <c r="A481" t="s">
        <v>510</v>
      </c>
      <c r="B481">
        <v>4.07318388135222E-2</v>
      </c>
      <c r="C481" s="5">
        <f t="shared" si="7"/>
        <v>0.11864111885701223</v>
      </c>
      <c r="D481">
        <v>1267268709.68905</v>
      </c>
      <c r="E481">
        <v>46082836.569583997</v>
      </c>
    </row>
    <row r="482" spans="1:5" x14ac:dyDescent="0.25">
      <c r="A482" t="s">
        <v>511</v>
      </c>
      <c r="B482">
        <v>4.1175679431002803E-2</v>
      </c>
      <c r="C482" s="5">
        <f t="shared" si="7"/>
        <v>1.0896650640119354E-2</v>
      </c>
      <c r="D482">
        <v>1281077694.08569</v>
      </c>
      <c r="E482">
        <v>34562994.112435497</v>
      </c>
    </row>
    <row r="483" spans="1:5" x14ac:dyDescent="0.25">
      <c r="A483" t="s">
        <v>512</v>
      </c>
      <c r="B483">
        <v>4.2703300847091098E-2</v>
      </c>
      <c r="C483" s="5">
        <f t="shared" si="7"/>
        <v>3.710009008225601E-2</v>
      </c>
      <c r="D483">
        <v>1328605791.9386401</v>
      </c>
      <c r="E483">
        <v>37213644.131766401</v>
      </c>
    </row>
    <row r="484" spans="1:5" x14ac:dyDescent="0.25">
      <c r="A484" t="s">
        <v>513</v>
      </c>
      <c r="B484">
        <v>4.16432946414418E-2</v>
      </c>
      <c r="C484" s="5">
        <f t="shared" si="7"/>
        <v>-2.4822582437945329E-2</v>
      </c>
      <c r="D484">
        <v>1295626365.1407101</v>
      </c>
      <c r="E484">
        <v>32386541.023715999</v>
      </c>
    </row>
    <row r="485" spans="1:5" x14ac:dyDescent="0.25">
      <c r="A485" t="s">
        <v>514</v>
      </c>
      <c r="B485">
        <v>4.1721815573510297E-2</v>
      </c>
      <c r="C485" s="5">
        <f t="shared" si="7"/>
        <v>1.8855600342042589E-3</v>
      </c>
      <c r="D485">
        <v>1297644168.2918501</v>
      </c>
      <c r="E485">
        <v>27814367.316605002</v>
      </c>
    </row>
    <row r="486" spans="1:5" x14ac:dyDescent="0.25">
      <c r="A486" t="s">
        <v>515</v>
      </c>
      <c r="B486">
        <v>4.1045902974213198E-2</v>
      </c>
      <c r="C486" s="5">
        <f t="shared" si="7"/>
        <v>-1.6200459879465168E-2</v>
      </c>
      <c r="D486">
        <v>1277040026.0664101</v>
      </c>
      <c r="E486">
        <v>24731847.754889801</v>
      </c>
    </row>
    <row r="487" spans="1:5" x14ac:dyDescent="0.25">
      <c r="A487" t="s">
        <v>516</v>
      </c>
      <c r="B487">
        <v>4.0372340909223398E-2</v>
      </c>
      <c r="C487" s="5">
        <f t="shared" si="7"/>
        <v>-1.640997069580763E-2</v>
      </c>
      <c r="D487">
        <v>1257061956.90276</v>
      </c>
      <c r="E487">
        <v>22479338.916937899</v>
      </c>
    </row>
    <row r="488" spans="1:5" x14ac:dyDescent="0.25">
      <c r="A488" t="s">
        <v>517</v>
      </c>
      <c r="B488">
        <v>4.0439278444023799E-2</v>
      </c>
      <c r="C488" s="5">
        <f t="shared" si="7"/>
        <v>1.658004794691248E-3</v>
      </c>
      <c r="D488">
        <v>1257893520.21474</v>
      </c>
      <c r="E488">
        <v>24067155.332681101</v>
      </c>
    </row>
    <row r="489" spans="1:5" x14ac:dyDescent="0.25">
      <c r="A489" t="s">
        <v>518</v>
      </c>
      <c r="B489">
        <v>4.1004178271410598E-2</v>
      </c>
      <c r="C489" s="5">
        <f t="shared" si="7"/>
        <v>1.3969087706862338E-2</v>
      </c>
      <c r="D489">
        <v>1275741866.8910999</v>
      </c>
      <c r="E489">
        <v>20807250.453483202</v>
      </c>
    </row>
    <row r="490" spans="1:5" x14ac:dyDescent="0.25">
      <c r="A490" t="s">
        <v>519</v>
      </c>
      <c r="B490">
        <v>4.1532949228633202E-2</v>
      </c>
      <c r="C490" s="5">
        <f t="shared" si="7"/>
        <v>1.2895538443000065E-2</v>
      </c>
      <c r="D490">
        <v>1295427858.3897099</v>
      </c>
      <c r="E490">
        <v>27282504.033098198</v>
      </c>
    </row>
    <row r="491" spans="1:5" x14ac:dyDescent="0.25">
      <c r="A491" t="s">
        <v>520</v>
      </c>
      <c r="B491">
        <v>4.5359194699420402E-2</v>
      </c>
      <c r="C491" s="5">
        <f t="shared" si="7"/>
        <v>9.2125542294727136E-2</v>
      </c>
      <c r="D491">
        <v>1411237248.64064</v>
      </c>
      <c r="E491">
        <v>57438978.337495603</v>
      </c>
    </row>
    <row r="492" spans="1:5" x14ac:dyDescent="0.25">
      <c r="A492" t="s">
        <v>521</v>
      </c>
      <c r="B492">
        <v>4.5900892993608097E-2</v>
      </c>
      <c r="C492" s="5">
        <f t="shared" si="7"/>
        <v>1.1942414272946067E-2</v>
      </c>
      <c r="D492">
        <v>1428090828.5013199</v>
      </c>
      <c r="E492">
        <v>67584583.519394502</v>
      </c>
    </row>
    <row r="493" spans="1:5" x14ac:dyDescent="0.25">
      <c r="A493" t="s">
        <v>522</v>
      </c>
      <c r="B493">
        <v>4.7322543862064102E-2</v>
      </c>
      <c r="C493" s="5">
        <f t="shared" si="7"/>
        <v>3.0972183235171036E-2</v>
      </c>
      <c r="D493">
        <v>1472648246.5070601</v>
      </c>
      <c r="E493">
        <v>49774298.347861998</v>
      </c>
    </row>
    <row r="494" spans="1:5" x14ac:dyDescent="0.25">
      <c r="A494" t="s">
        <v>523</v>
      </c>
      <c r="B494">
        <v>4.48296475439902E-2</v>
      </c>
      <c r="C494" s="5">
        <f t="shared" si="7"/>
        <v>-5.2678831580571961E-2</v>
      </c>
      <c r="D494">
        <v>1394761720.89798</v>
      </c>
      <c r="E494">
        <v>42954299.499931097</v>
      </c>
    </row>
    <row r="495" spans="1:5" x14ac:dyDescent="0.25">
      <c r="A495" t="s">
        <v>524</v>
      </c>
      <c r="B495">
        <v>4.5833681237147102E-2</v>
      </c>
      <c r="C495" s="5">
        <f t="shared" si="7"/>
        <v>2.2396644813494682E-2</v>
      </c>
      <c r="D495">
        <v>1429215107.7913699</v>
      </c>
      <c r="E495">
        <v>32119107.479778901</v>
      </c>
    </row>
    <row r="496" spans="1:5" x14ac:dyDescent="0.25">
      <c r="A496" t="s">
        <v>525</v>
      </c>
      <c r="B496">
        <v>4.8239797901670198E-2</v>
      </c>
      <c r="C496" s="5">
        <f t="shared" si="7"/>
        <v>5.2496692379424115E-2</v>
      </c>
      <c r="D496">
        <v>1500859971.5418501</v>
      </c>
      <c r="E496">
        <v>47397198.777276799</v>
      </c>
    </row>
    <row r="497" spans="1:5" x14ac:dyDescent="0.25">
      <c r="A497" t="s">
        <v>526</v>
      </c>
      <c r="B497">
        <v>4.19810562936547E-2</v>
      </c>
      <c r="C497" s="5">
        <f t="shared" si="7"/>
        <v>-0.12974228500652163</v>
      </c>
      <c r="D497">
        <v>1317346490.2655201</v>
      </c>
      <c r="E497">
        <v>75083200.676402107</v>
      </c>
    </row>
    <row r="498" spans="1:5" x14ac:dyDescent="0.25">
      <c r="A498" t="s">
        <v>527</v>
      </c>
      <c r="B498">
        <v>4.3514533636553901E-2</v>
      </c>
      <c r="C498" s="5">
        <f t="shared" si="7"/>
        <v>3.6527840847372373E-2</v>
      </c>
      <c r="D498">
        <v>1353845259.6451299</v>
      </c>
      <c r="E498">
        <v>47206343.601244196</v>
      </c>
    </row>
    <row r="499" spans="1:5" x14ac:dyDescent="0.25">
      <c r="A499" t="s">
        <v>528</v>
      </c>
      <c r="B499">
        <v>4.2860593115549198E-2</v>
      </c>
      <c r="C499" s="5">
        <f t="shared" si="7"/>
        <v>-1.5028094440046269E-2</v>
      </c>
      <c r="D499">
        <v>1333499545.22597</v>
      </c>
      <c r="E499">
        <v>33331022.6609248</v>
      </c>
    </row>
    <row r="500" spans="1:5" x14ac:dyDescent="0.25">
      <c r="A500" t="s">
        <v>529</v>
      </c>
      <c r="B500">
        <v>4.3024207886110097E-2</v>
      </c>
      <c r="C500" s="5">
        <f t="shared" si="7"/>
        <v>3.8173706583994882E-3</v>
      </c>
      <c r="D500">
        <v>1340877352.44065</v>
      </c>
      <c r="E500">
        <v>32087203.1788425</v>
      </c>
    </row>
    <row r="501" spans="1:5" x14ac:dyDescent="0.25">
      <c r="A501" t="s">
        <v>530</v>
      </c>
      <c r="B501">
        <v>4.27940036698597E-2</v>
      </c>
      <c r="C501" s="5">
        <f t="shared" si="7"/>
        <v>-5.3505741897624803E-3</v>
      </c>
      <c r="D501">
        <v>1331427782.11937</v>
      </c>
      <c r="E501">
        <v>27869743.404852301</v>
      </c>
    </row>
    <row r="502" spans="1:5" x14ac:dyDescent="0.25">
      <c r="A502" t="s">
        <v>531</v>
      </c>
      <c r="B502">
        <v>4.2910051760792003E-2</v>
      </c>
      <c r="C502" s="5">
        <f t="shared" si="7"/>
        <v>2.7117839178492087E-3</v>
      </c>
      <c r="D502">
        <v>1334243806.66783</v>
      </c>
      <c r="E502">
        <v>21785753.866402801</v>
      </c>
    </row>
    <row r="503" spans="1:5" x14ac:dyDescent="0.25">
      <c r="A503" t="s">
        <v>532</v>
      </c>
      <c r="B503">
        <v>4.2316275856572702E-2</v>
      </c>
      <c r="C503" s="5">
        <f t="shared" si="7"/>
        <v>-1.3837687904209139E-2</v>
      </c>
      <c r="D503">
        <v>1318787997.3318701</v>
      </c>
      <c r="E503">
        <v>20844377.651532501</v>
      </c>
    </row>
    <row r="504" spans="1:5" x14ac:dyDescent="0.25">
      <c r="A504" t="s">
        <v>533</v>
      </c>
      <c r="B504">
        <v>4.2010864772640197E-2</v>
      </c>
      <c r="C504" s="5">
        <f t="shared" si="7"/>
        <v>-7.2173431558029133E-3</v>
      </c>
      <c r="D504">
        <v>1307062385.2039499</v>
      </c>
      <c r="E504">
        <v>21029291.5977773</v>
      </c>
    </row>
    <row r="505" spans="1:5" x14ac:dyDescent="0.25">
      <c r="A505" t="s">
        <v>534</v>
      </c>
      <c r="B505">
        <v>4.01822746595209E-2</v>
      </c>
      <c r="C505" s="5">
        <f t="shared" si="7"/>
        <v>-4.3526600154876527E-2</v>
      </c>
      <c r="D505">
        <v>1250170403.3857</v>
      </c>
      <c r="E505">
        <v>32363603.102818102</v>
      </c>
    </row>
    <row r="506" spans="1:5" x14ac:dyDescent="0.25">
      <c r="A506" t="s">
        <v>535</v>
      </c>
      <c r="B506">
        <v>4.2803453347611403E-2</v>
      </c>
      <c r="C506" s="5">
        <f t="shared" si="7"/>
        <v>6.5232212718187466E-2</v>
      </c>
      <c r="D506">
        <v>1330762949.8479099</v>
      </c>
      <c r="E506">
        <v>37960084.263351299</v>
      </c>
    </row>
    <row r="507" spans="1:5" x14ac:dyDescent="0.25">
      <c r="A507" t="s">
        <v>536</v>
      </c>
      <c r="B507">
        <v>4.25036202099211E-2</v>
      </c>
      <c r="C507" s="5">
        <f t="shared" si="7"/>
        <v>-7.0048819485504232E-3</v>
      </c>
      <c r="D507">
        <v>1321151583.6117401</v>
      </c>
      <c r="E507">
        <v>33522072.282025699</v>
      </c>
    </row>
    <row r="508" spans="1:5" x14ac:dyDescent="0.25">
      <c r="A508" t="s">
        <v>537</v>
      </c>
      <c r="B508">
        <v>4.2648959955972503E-2</v>
      </c>
      <c r="C508" s="5">
        <f t="shared" si="7"/>
        <v>3.4194674555623195E-3</v>
      </c>
      <c r="D508">
        <v>1325890786.56516</v>
      </c>
      <c r="E508">
        <v>34476828.379870601</v>
      </c>
    </row>
    <row r="509" spans="1:5" x14ac:dyDescent="0.25">
      <c r="A509" t="s">
        <v>538</v>
      </c>
      <c r="B509">
        <v>4.2376026109739E-2</v>
      </c>
      <c r="C509" s="5">
        <f t="shared" si="7"/>
        <v>-6.3995428379791663E-3</v>
      </c>
      <c r="D509">
        <v>1317420361.25437</v>
      </c>
      <c r="E509">
        <v>38664994.483908303</v>
      </c>
    </row>
    <row r="510" spans="1:5" x14ac:dyDescent="0.25">
      <c r="A510" t="s">
        <v>539</v>
      </c>
      <c r="B510">
        <v>4.6648731125575202E-2</v>
      </c>
      <c r="C510" s="5">
        <f t="shared" si="7"/>
        <v>0.10082835527737788</v>
      </c>
      <c r="D510">
        <v>1451358211.92979</v>
      </c>
      <c r="E510">
        <v>86993700.476588801</v>
      </c>
    </row>
    <row r="511" spans="1:5" x14ac:dyDescent="0.25">
      <c r="A511" t="s">
        <v>540</v>
      </c>
      <c r="B511">
        <v>4.5522956422317198E-2</v>
      </c>
      <c r="C511" s="5">
        <f t="shared" si="7"/>
        <v>-2.4133018757305447E-2</v>
      </c>
      <c r="D511">
        <v>1415911776.5232899</v>
      </c>
      <c r="E511">
        <v>51354294.7854141</v>
      </c>
    </row>
    <row r="512" spans="1:5" x14ac:dyDescent="0.25">
      <c r="A512" t="s">
        <v>541</v>
      </c>
      <c r="B512">
        <v>4.7349574427912801E-2</v>
      </c>
      <c r="C512" s="5">
        <f t="shared" si="7"/>
        <v>4.0125206031217164E-2</v>
      </c>
      <c r="D512">
        <v>1480451280.82655</v>
      </c>
      <c r="E512">
        <v>82116619.155377299</v>
      </c>
    </row>
    <row r="513" spans="1:5" x14ac:dyDescent="0.25">
      <c r="A513" t="s">
        <v>542</v>
      </c>
      <c r="B513">
        <v>4.7212017798664199E-2</v>
      </c>
      <c r="C513" s="5">
        <f t="shared" si="7"/>
        <v>-2.9051291571379201E-3</v>
      </c>
      <c r="D513">
        <v>1469715248.3471601</v>
      </c>
      <c r="E513">
        <v>61983160.853166997</v>
      </c>
    </row>
    <row r="514" spans="1:5" x14ac:dyDescent="0.25">
      <c r="A514" t="s">
        <v>543</v>
      </c>
      <c r="B514">
        <v>4.6196136347646001E-2</v>
      </c>
      <c r="C514" s="5">
        <f t="shared" si="7"/>
        <v>-2.1517433449898871E-2</v>
      </c>
      <c r="D514">
        <v>1437571918.33952</v>
      </c>
      <c r="E514">
        <v>53000333.0763046</v>
      </c>
    </row>
    <row r="515" spans="1:5" x14ac:dyDescent="0.25">
      <c r="A515" t="s">
        <v>544</v>
      </c>
      <c r="B515">
        <v>4.7615948438453598E-2</v>
      </c>
      <c r="C515" s="5">
        <f t="shared" si="7"/>
        <v>3.0734433722398258E-2</v>
      </c>
      <c r="D515">
        <v>1479446913.0427499</v>
      </c>
      <c r="E515">
        <v>46039895.547000803</v>
      </c>
    </row>
    <row r="516" spans="1:5" x14ac:dyDescent="0.25">
      <c r="A516" t="s">
        <v>545</v>
      </c>
      <c r="B516">
        <v>4.9811873445980301E-2</v>
      </c>
      <c r="C516" s="5">
        <f t="shared" ref="C516:C579" si="8">B516/B515-1</f>
        <v>4.6117426608966117E-2</v>
      </c>
      <c r="D516">
        <v>1549931684.4135201</v>
      </c>
      <c r="E516">
        <v>70787494.183193102</v>
      </c>
    </row>
    <row r="517" spans="1:5" x14ac:dyDescent="0.25">
      <c r="A517" t="s">
        <v>546</v>
      </c>
      <c r="B517">
        <v>5.1233261368097201E-2</v>
      </c>
      <c r="C517" s="5">
        <f t="shared" si="8"/>
        <v>2.8535122728486684E-2</v>
      </c>
      <c r="D517">
        <v>1594232228.1685901</v>
      </c>
      <c r="E517">
        <v>74845495.233204901</v>
      </c>
    </row>
    <row r="518" spans="1:5" x14ac:dyDescent="0.25">
      <c r="A518" t="s">
        <v>547</v>
      </c>
      <c r="B518">
        <v>4.9687912732741597E-2</v>
      </c>
      <c r="C518" s="5">
        <f t="shared" si="8"/>
        <v>-3.0162995563618122E-2</v>
      </c>
      <c r="D518">
        <v>1546126613.1377599</v>
      </c>
      <c r="E518">
        <v>55364282.813914098</v>
      </c>
    </row>
    <row r="519" spans="1:5" x14ac:dyDescent="0.25">
      <c r="A519" t="s">
        <v>548</v>
      </c>
      <c r="B519">
        <v>5.0033141737933801E-2</v>
      </c>
      <c r="C519" s="5">
        <f t="shared" si="8"/>
        <v>6.9479474223257398E-3</v>
      </c>
      <c r="D519">
        <v>1556854618.36763</v>
      </c>
      <c r="E519">
        <v>59189804.097167</v>
      </c>
    </row>
    <row r="520" spans="1:5" x14ac:dyDescent="0.25">
      <c r="A520" t="s">
        <v>549</v>
      </c>
      <c r="B520">
        <v>5.19428727190753E-2</v>
      </c>
      <c r="C520" s="5">
        <f t="shared" si="8"/>
        <v>3.8169319671037094E-2</v>
      </c>
      <c r="D520">
        <v>1615929154.04618</v>
      </c>
      <c r="E520">
        <v>76079077.039709002</v>
      </c>
    </row>
    <row r="521" spans="1:5" x14ac:dyDescent="0.25">
      <c r="A521" t="s">
        <v>550</v>
      </c>
      <c r="B521">
        <v>5.3288812877978597E-2</v>
      </c>
      <c r="C521" s="5">
        <f t="shared" si="8"/>
        <v>2.5911931482546224E-2</v>
      </c>
      <c r="D521">
        <v>1657947372.4696701</v>
      </c>
      <c r="E521">
        <v>83787695.904845402</v>
      </c>
    </row>
    <row r="522" spans="1:5" x14ac:dyDescent="0.25">
      <c r="A522" t="s">
        <v>551</v>
      </c>
      <c r="B522">
        <v>5.26429995722189E-2</v>
      </c>
      <c r="C522" s="5">
        <f t="shared" si="8"/>
        <v>-1.2119116018562637E-2</v>
      </c>
      <c r="D522">
        <v>1638621366.34478</v>
      </c>
      <c r="E522">
        <v>110563157.91140801</v>
      </c>
    </row>
    <row r="523" spans="1:5" x14ac:dyDescent="0.25">
      <c r="A523" t="s">
        <v>552</v>
      </c>
      <c r="B523">
        <v>5.77682775470739E-2</v>
      </c>
      <c r="C523" s="5">
        <f t="shared" si="8"/>
        <v>9.7359155376848028E-2</v>
      </c>
      <c r="D523">
        <v>1797682146.40447</v>
      </c>
      <c r="E523">
        <v>187687245.92479101</v>
      </c>
    </row>
    <row r="524" spans="1:5" x14ac:dyDescent="0.25">
      <c r="A524" t="s">
        <v>553</v>
      </c>
      <c r="B524">
        <v>6.3486563294487694E-2</v>
      </c>
      <c r="C524" s="5">
        <f t="shared" si="8"/>
        <v>9.8986606321334492E-2</v>
      </c>
      <c r="D524">
        <v>1976001729.67184</v>
      </c>
      <c r="E524">
        <v>230447390.65569699</v>
      </c>
    </row>
    <row r="525" spans="1:5" x14ac:dyDescent="0.25">
      <c r="A525" t="s">
        <v>554</v>
      </c>
      <c r="B525">
        <v>6.1118437122862301E-2</v>
      </c>
      <c r="C525" s="5">
        <f t="shared" si="8"/>
        <v>-3.7301218537230341E-2</v>
      </c>
      <c r="D525">
        <v>1902218939.5042601</v>
      </c>
      <c r="E525">
        <v>165136979.71185201</v>
      </c>
    </row>
    <row r="526" spans="1:5" x14ac:dyDescent="0.25">
      <c r="A526" t="s">
        <v>555</v>
      </c>
      <c r="B526">
        <v>5.8637988959569898E-2</v>
      </c>
      <c r="C526" s="5">
        <f t="shared" si="8"/>
        <v>-4.0584286510895629E-2</v>
      </c>
      <c r="D526">
        <v>1825444528.72861</v>
      </c>
      <c r="E526">
        <v>82449862.628947496</v>
      </c>
    </row>
    <row r="527" spans="1:5" x14ac:dyDescent="0.25">
      <c r="A527" t="s">
        <v>556</v>
      </c>
      <c r="B527">
        <v>6.1466010267258203E-2</v>
      </c>
      <c r="C527" s="5">
        <f t="shared" si="8"/>
        <v>4.8228483920861986E-2</v>
      </c>
      <c r="D527">
        <v>1912322649.53966</v>
      </c>
      <c r="E527">
        <v>126218530.89890701</v>
      </c>
    </row>
    <row r="528" spans="1:5" x14ac:dyDescent="0.25">
      <c r="A528" t="s">
        <v>557</v>
      </c>
      <c r="B528">
        <v>6.6993016404246097E-2</v>
      </c>
      <c r="C528" s="5">
        <f t="shared" si="8"/>
        <v>8.9919715188217175E-2</v>
      </c>
      <c r="D528">
        <v>2085490917.9162199</v>
      </c>
      <c r="E528">
        <v>190231033.162121</v>
      </c>
    </row>
    <row r="529" spans="1:5" x14ac:dyDescent="0.25">
      <c r="A529" t="s">
        <v>558</v>
      </c>
      <c r="B529">
        <v>6.5585126100949798E-2</v>
      </c>
      <c r="C529" s="5">
        <f t="shared" si="8"/>
        <v>-2.1015478610499905E-2</v>
      </c>
      <c r="D529">
        <v>2040501513.4832499</v>
      </c>
      <c r="E529">
        <v>139866735.21952</v>
      </c>
    </row>
    <row r="530" spans="1:5" x14ac:dyDescent="0.25">
      <c r="A530" t="s">
        <v>559</v>
      </c>
      <c r="B530">
        <v>7.1909241590122394E-2</v>
      </c>
      <c r="C530" s="5">
        <f t="shared" si="8"/>
        <v>9.6426062815498925E-2</v>
      </c>
      <c r="D530">
        <v>2246917340.7308898</v>
      </c>
      <c r="E530">
        <v>212983058.701096</v>
      </c>
    </row>
    <row r="531" spans="1:5" x14ac:dyDescent="0.25">
      <c r="A531" t="s">
        <v>560</v>
      </c>
      <c r="B531">
        <v>7.1813184861108506E-2</v>
      </c>
      <c r="C531" s="5">
        <f t="shared" si="8"/>
        <v>-1.3358050632963359E-3</v>
      </c>
      <c r="D531">
        <v>2234931086.3977399</v>
      </c>
      <c r="E531">
        <v>182155337.53517899</v>
      </c>
    </row>
    <row r="532" spans="1:5" x14ac:dyDescent="0.25">
      <c r="A532" t="s">
        <v>561</v>
      </c>
      <c r="B532">
        <v>6.9984603622442798E-2</v>
      </c>
      <c r="C532" s="5">
        <f t="shared" si="8"/>
        <v>-2.5463029417262417E-2</v>
      </c>
      <c r="D532">
        <v>2174696705.1462302</v>
      </c>
      <c r="E532">
        <v>125531038.366436</v>
      </c>
    </row>
    <row r="533" spans="1:5" x14ac:dyDescent="0.25">
      <c r="A533" t="s">
        <v>562</v>
      </c>
      <c r="B533">
        <v>7.2332132611155203E-2</v>
      </c>
      <c r="C533" s="5">
        <f t="shared" si="8"/>
        <v>3.3543506245702126E-2</v>
      </c>
      <c r="D533">
        <v>2250534949.5023298</v>
      </c>
      <c r="E533">
        <v>142615945.86230001</v>
      </c>
    </row>
    <row r="534" spans="1:5" x14ac:dyDescent="0.25">
      <c r="A534" t="s">
        <v>563</v>
      </c>
      <c r="B534">
        <v>8.4634941156969096E-2</v>
      </c>
      <c r="C534" s="5">
        <f t="shared" si="8"/>
        <v>0.17008773420177747</v>
      </c>
      <c r="D534">
        <v>2643388414.97787</v>
      </c>
      <c r="E534">
        <v>327674511.33569002</v>
      </c>
    </row>
    <row r="535" spans="1:5" x14ac:dyDescent="0.25">
      <c r="A535" t="s">
        <v>564</v>
      </c>
      <c r="B535">
        <v>9.0656283179069999E-2</v>
      </c>
      <c r="C535" s="5">
        <f t="shared" si="8"/>
        <v>7.1144871607264015E-2</v>
      </c>
      <c r="D535">
        <v>2840882113.0424199</v>
      </c>
      <c r="E535">
        <v>481145168.96432197</v>
      </c>
    </row>
    <row r="536" spans="1:5" x14ac:dyDescent="0.25">
      <c r="A536" t="s">
        <v>565</v>
      </c>
      <c r="B536">
        <v>8.7182808047848198E-2</v>
      </c>
      <c r="C536" s="5">
        <f t="shared" si="8"/>
        <v>-3.8314775428866521E-2</v>
      </c>
      <c r="D536">
        <v>2715051077.9800601</v>
      </c>
      <c r="E536">
        <v>341137519.02411002</v>
      </c>
    </row>
    <row r="537" spans="1:5" x14ac:dyDescent="0.25">
      <c r="A537" t="s">
        <v>566</v>
      </c>
      <c r="B537">
        <v>9.0310876295543296E-2</v>
      </c>
      <c r="C537" s="5">
        <f t="shared" si="8"/>
        <v>3.5879416111239903E-2</v>
      </c>
      <c r="D537">
        <v>2808480733.0355401</v>
      </c>
      <c r="E537">
        <v>237062289.10388899</v>
      </c>
    </row>
    <row r="538" spans="1:5" x14ac:dyDescent="0.25">
      <c r="A538" t="s">
        <v>567</v>
      </c>
      <c r="B538">
        <v>8.9869224120687097E-2</v>
      </c>
      <c r="C538" s="5">
        <f t="shared" si="8"/>
        <v>-4.890354218365589E-3</v>
      </c>
      <c r="D538">
        <v>2794006323.4093599</v>
      </c>
      <c r="E538">
        <v>203512085.900132</v>
      </c>
    </row>
    <row r="539" spans="1:5" x14ac:dyDescent="0.25">
      <c r="A539" t="s">
        <v>568</v>
      </c>
      <c r="B539">
        <v>9.0081492564402899E-2</v>
      </c>
      <c r="C539" s="5">
        <f t="shared" si="8"/>
        <v>2.3619703607404841E-3</v>
      </c>
      <c r="D539">
        <v>2792824469.7116499</v>
      </c>
      <c r="E539">
        <v>174484885.92127699</v>
      </c>
    </row>
    <row r="540" spans="1:5" x14ac:dyDescent="0.25">
      <c r="A540" t="s">
        <v>569</v>
      </c>
      <c r="B540">
        <v>8.6676102820289494E-2</v>
      </c>
      <c r="C540" s="5">
        <f t="shared" si="8"/>
        <v>-3.7803433837186429E-2</v>
      </c>
      <c r="D540">
        <v>2697332324.8271699</v>
      </c>
      <c r="E540">
        <v>222589747.68742099</v>
      </c>
    </row>
    <row r="541" spans="1:5" x14ac:dyDescent="0.25">
      <c r="A541" t="s">
        <v>570</v>
      </c>
      <c r="B541">
        <v>8.3365893067905303E-2</v>
      </c>
      <c r="C541" s="5">
        <f t="shared" si="8"/>
        <v>-3.819056977270241E-2</v>
      </c>
      <c r="D541">
        <v>2593699164.3991599</v>
      </c>
      <c r="E541">
        <v>197432272.624345</v>
      </c>
    </row>
    <row r="542" spans="1:5" x14ac:dyDescent="0.25">
      <c r="A542" t="s">
        <v>571</v>
      </c>
      <c r="B542">
        <v>8.9638472098989994E-2</v>
      </c>
      <c r="C542" s="5">
        <f t="shared" si="8"/>
        <v>7.5241550234163457E-2</v>
      </c>
      <c r="D542">
        <v>2791934582.1742601</v>
      </c>
      <c r="E542">
        <v>204490716.085834</v>
      </c>
    </row>
    <row r="543" spans="1:5" x14ac:dyDescent="0.25">
      <c r="A543" t="s">
        <v>572</v>
      </c>
      <c r="B543">
        <v>8.3087429544778005E-2</v>
      </c>
      <c r="C543" s="5">
        <f t="shared" si="8"/>
        <v>-7.3082934155520918E-2</v>
      </c>
      <c r="D543">
        <v>2587364008.2123799</v>
      </c>
      <c r="E543">
        <v>250105632.406611</v>
      </c>
    </row>
    <row r="544" spans="1:5" x14ac:dyDescent="0.25">
      <c r="A544" t="s">
        <v>573</v>
      </c>
      <c r="B544">
        <v>8.3134975199876199E-2</v>
      </c>
      <c r="C544" s="5">
        <f t="shared" si="8"/>
        <v>5.7223644248827199E-4</v>
      </c>
      <c r="D544">
        <v>2584989096.7950301</v>
      </c>
      <c r="E544">
        <v>185921625.301552</v>
      </c>
    </row>
    <row r="545" spans="1:5" x14ac:dyDescent="0.25">
      <c r="A545" t="s">
        <v>574</v>
      </c>
      <c r="B545">
        <v>8.3404014879000204E-2</v>
      </c>
      <c r="C545" s="5">
        <f t="shared" si="8"/>
        <v>3.2361792191213379E-3</v>
      </c>
      <c r="D545">
        <v>2589719878.5113802</v>
      </c>
      <c r="E545">
        <v>123765669.50368799</v>
      </c>
    </row>
    <row r="546" spans="1:5" x14ac:dyDescent="0.25">
      <c r="A546" t="s">
        <v>575</v>
      </c>
      <c r="B546">
        <v>8.4271675568156595E-2</v>
      </c>
      <c r="C546" s="5">
        <f t="shared" si="8"/>
        <v>1.0403104579739475E-2</v>
      </c>
      <c r="D546">
        <v>2620859359.2048302</v>
      </c>
      <c r="E546">
        <v>128208294.672658</v>
      </c>
    </row>
    <row r="547" spans="1:5" x14ac:dyDescent="0.25">
      <c r="A547" t="s">
        <v>576</v>
      </c>
      <c r="B547">
        <v>8.2209390792213094E-2</v>
      </c>
      <c r="C547" s="5">
        <f t="shared" si="8"/>
        <v>-2.4471861536389916E-2</v>
      </c>
      <c r="D547">
        <v>2557136226.99191</v>
      </c>
      <c r="E547">
        <v>117799275.95286401</v>
      </c>
    </row>
    <row r="548" spans="1:5" x14ac:dyDescent="0.25">
      <c r="A548" t="s">
        <v>577</v>
      </c>
      <c r="B548">
        <v>8.3306886073698294E-2</v>
      </c>
      <c r="C548" s="5">
        <f t="shared" si="8"/>
        <v>1.3349998958867682E-2</v>
      </c>
      <c r="D548">
        <v>2591965875.9176698</v>
      </c>
      <c r="E548">
        <v>105160745.960094</v>
      </c>
    </row>
    <row r="549" spans="1:5" x14ac:dyDescent="0.25">
      <c r="A549" t="s">
        <v>578</v>
      </c>
      <c r="B549">
        <v>8.2735439723578996E-2</v>
      </c>
      <c r="C549" s="5">
        <f t="shared" si="8"/>
        <v>-6.8595331916950775E-3</v>
      </c>
      <c r="D549">
        <v>2576223755.8157001</v>
      </c>
      <c r="E549">
        <v>103659370.16947</v>
      </c>
    </row>
    <row r="550" spans="1:5" x14ac:dyDescent="0.25">
      <c r="A550" t="s">
        <v>579</v>
      </c>
      <c r="B550">
        <v>8.1509429089910601E-2</v>
      </c>
      <c r="C550" s="5">
        <f t="shared" si="8"/>
        <v>-1.4818445853004736E-2</v>
      </c>
      <c r="D550">
        <v>2537199477.77391</v>
      </c>
      <c r="E550">
        <v>110382965.732384</v>
      </c>
    </row>
    <row r="551" spans="1:5" x14ac:dyDescent="0.25">
      <c r="A551" t="s">
        <v>580</v>
      </c>
      <c r="B551">
        <v>7.9281408600584205E-2</v>
      </c>
      <c r="C551" s="5">
        <f t="shared" si="8"/>
        <v>-2.7334512266902644E-2</v>
      </c>
      <c r="D551">
        <v>2472129360.9040198</v>
      </c>
      <c r="E551">
        <v>144843502.87001401</v>
      </c>
    </row>
    <row r="552" spans="1:5" x14ac:dyDescent="0.25">
      <c r="A552" t="s">
        <v>581</v>
      </c>
      <c r="B552">
        <v>7.6203889166484906E-2</v>
      </c>
      <c r="C552" s="5">
        <f t="shared" si="8"/>
        <v>-3.8817668460000343E-2</v>
      </c>
      <c r="D552">
        <v>2369595754.8873301</v>
      </c>
      <c r="E552">
        <v>136815464.595184</v>
      </c>
    </row>
    <row r="553" spans="1:5" x14ac:dyDescent="0.25">
      <c r="A553" t="s">
        <v>582</v>
      </c>
      <c r="B553">
        <v>7.4000074197629107E-2</v>
      </c>
      <c r="C553" s="5">
        <f t="shared" si="8"/>
        <v>-2.8919980239342613E-2</v>
      </c>
      <c r="D553">
        <v>2301615515.5755901</v>
      </c>
      <c r="E553">
        <v>152578410.17837</v>
      </c>
    </row>
    <row r="554" spans="1:5" x14ac:dyDescent="0.25">
      <c r="A554" t="s">
        <v>583</v>
      </c>
      <c r="B554">
        <v>7.7731047907049197E-2</v>
      </c>
      <c r="C554" s="5">
        <f t="shared" si="8"/>
        <v>5.0418513087647998E-2</v>
      </c>
      <c r="D554">
        <v>2423028539.10495</v>
      </c>
      <c r="E554">
        <v>162833809.664224</v>
      </c>
    </row>
    <row r="555" spans="1:5" x14ac:dyDescent="0.25">
      <c r="A555" t="s">
        <v>584</v>
      </c>
      <c r="B555">
        <v>7.4282200033092605E-2</v>
      </c>
      <c r="C555" s="5">
        <f t="shared" si="8"/>
        <v>-4.436898725565519E-2</v>
      </c>
      <c r="D555">
        <v>2310262161.60849</v>
      </c>
      <c r="E555">
        <v>174822452.05313301</v>
      </c>
    </row>
    <row r="556" spans="1:5" x14ac:dyDescent="0.25">
      <c r="A556" t="s">
        <v>585</v>
      </c>
      <c r="B556">
        <v>7.2049677314260693E-2</v>
      </c>
      <c r="C556" s="5">
        <f t="shared" si="8"/>
        <v>-3.0054612246774193E-2</v>
      </c>
      <c r="D556">
        <v>2236459283.8235402</v>
      </c>
      <c r="E556">
        <v>165912540.570898</v>
      </c>
    </row>
    <row r="557" spans="1:5" x14ac:dyDescent="0.25">
      <c r="A557" t="s">
        <v>586</v>
      </c>
      <c r="B557">
        <v>6.9329555225171396E-2</v>
      </c>
      <c r="C557" s="5">
        <f t="shared" si="8"/>
        <v>-3.7753425004596219E-2</v>
      </c>
      <c r="D557">
        <v>2156944993.2995601</v>
      </c>
      <c r="E557">
        <v>170331899.395787</v>
      </c>
    </row>
    <row r="558" spans="1:5" x14ac:dyDescent="0.25">
      <c r="A558" t="s">
        <v>587</v>
      </c>
      <c r="B558">
        <v>6.9592769291279097E-2</v>
      </c>
      <c r="C558" s="5">
        <f t="shared" si="8"/>
        <v>3.7965636048409301E-3</v>
      </c>
      <c r="D558">
        <v>2151061060.36028</v>
      </c>
      <c r="E558">
        <v>145817325.34111801</v>
      </c>
    </row>
    <row r="559" spans="1:5" x14ac:dyDescent="0.25">
      <c r="A559" t="s">
        <v>588</v>
      </c>
      <c r="B559">
        <v>7.0205557218536996E-2</v>
      </c>
      <c r="C559" s="5">
        <f t="shared" si="8"/>
        <v>8.8053390244191565E-3</v>
      </c>
      <c r="D559">
        <v>2182464333.0042801</v>
      </c>
      <c r="E559">
        <v>102286462.80692001</v>
      </c>
    </row>
    <row r="560" spans="1:5" x14ac:dyDescent="0.25">
      <c r="A560" t="s">
        <v>589</v>
      </c>
      <c r="B560">
        <v>6.8513060160468098E-2</v>
      </c>
      <c r="C560" s="5">
        <f t="shared" si="8"/>
        <v>-2.4107736269373459E-2</v>
      </c>
      <c r="D560">
        <v>2129329332.5481999</v>
      </c>
      <c r="E560">
        <v>79444935.641412094</v>
      </c>
    </row>
    <row r="561" spans="1:5" x14ac:dyDescent="0.25">
      <c r="A561" t="s">
        <v>590</v>
      </c>
      <c r="B561">
        <v>6.4263125292007395E-2</v>
      </c>
      <c r="C561" s="5">
        <f t="shared" si="8"/>
        <v>-6.2031018006007965E-2</v>
      </c>
      <c r="D561">
        <v>1999777250.36098</v>
      </c>
      <c r="E561">
        <v>118785543.061884</v>
      </c>
    </row>
    <row r="562" spans="1:5" x14ac:dyDescent="0.25">
      <c r="A562" t="s">
        <v>591</v>
      </c>
      <c r="B562">
        <v>6.9647117593099203E-2</v>
      </c>
      <c r="C562" s="5">
        <f t="shared" si="8"/>
        <v>8.3780430482135904E-2</v>
      </c>
      <c r="D562">
        <v>2163523430.96661</v>
      </c>
      <c r="E562">
        <v>118345782.608712</v>
      </c>
    </row>
    <row r="563" spans="1:5" x14ac:dyDescent="0.25">
      <c r="A563" t="s">
        <v>592</v>
      </c>
      <c r="B563">
        <v>6.8443572943526307E-2</v>
      </c>
      <c r="C563" s="5">
        <f t="shared" si="8"/>
        <v>-1.7280609609781505E-2</v>
      </c>
      <c r="D563">
        <v>2129155366.2224901</v>
      </c>
      <c r="E563">
        <v>153059476.95903799</v>
      </c>
    </row>
    <row r="564" spans="1:5" x14ac:dyDescent="0.25">
      <c r="A564" t="s">
        <v>593</v>
      </c>
      <c r="B564">
        <v>6.8048675269113207E-2</v>
      </c>
      <c r="C564" s="5">
        <f t="shared" si="8"/>
        <v>-5.7696823445926304E-3</v>
      </c>
      <c r="D564">
        <v>2117234656.10552</v>
      </c>
      <c r="E564">
        <v>150318041.30003399</v>
      </c>
    </row>
    <row r="565" spans="1:5" x14ac:dyDescent="0.25">
      <c r="A565" t="s">
        <v>594</v>
      </c>
      <c r="B565">
        <v>6.9361873472655503E-2</v>
      </c>
      <c r="C565" s="5">
        <f t="shared" si="8"/>
        <v>1.9297924586319626E-2</v>
      </c>
      <c r="D565">
        <v>2154930240.0152998</v>
      </c>
      <c r="E565">
        <v>186310266.94267899</v>
      </c>
    </row>
    <row r="566" spans="1:5" x14ac:dyDescent="0.25">
      <c r="A566" t="s">
        <v>595</v>
      </c>
      <c r="B566">
        <v>6.66327963443058E-2</v>
      </c>
      <c r="C566" s="5">
        <f t="shared" si="8"/>
        <v>-3.934549330513093E-2</v>
      </c>
      <c r="D566">
        <v>2073037081.06302</v>
      </c>
      <c r="E566">
        <v>140962190.09442899</v>
      </c>
    </row>
    <row r="567" spans="1:5" x14ac:dyDescent="0.25">
      <c r="A567" t="s">
        <v>596</v>
      </c>
      <c r="B567">
        <v>6.56807663500526E-2</v>
      </c>
      <c r="C567" s="5">
        <f t="shared" si="8"/>
        <v>-1.4287708853367942E-2</v>
      </c>
      <c r="D567">
        <v>2041852784.2945499</v>
      </c>
      <c r="E567">
        <v>148118686.76321399</v>
      </c>
    </row>
    <row r="568" spans="1:5" x14ac:dyDescent="0.25">
      <c r="A568" t="s">
        <v>597</v>
      </c>
      <c r="B568">
        <v>6.6451683516226906E-2</v>
      </c>
      <c r="C568" s="5">
        <f t="shared" si="8"/>
        <v>1.1737335128911619E-2</v>
      </c>
      <c r="D568">
        <v>2069938543.6881599</v>
      </c>
      <c r="E568">
        <v>154332100.899216</v>
      </c>
    </row>
    <row r="569" spans="1:5" x14ac:dyDescent="0.25">
      <c r="A569" t="s">
        <v>598</v>
      </c>
      <c r="B569">
        <v>6.3882851076742103E-2</v>
      </c>
      <c r="C569" s="5">
        <f t="shared" si="8"/>
        <v>-3.8657146118164398E-2</v>
      </c>
      <c r="D569">
        <v>1990975694.9859099</v>
      </c>
      <c r="E569">
        <v>152003841.37795499</v>
      </c>
    </row>
    <row r="570" spans="1:5" x14ac:dyDescent="0.25">
      <c r="A570" t="s">
        <v>599</v>
      </c>
      <c r="B570">
        <v>6.42183900895201E-2</v>
      </c>
      <c r="C570" s="5">
        <f t="shared" si="8"/>
        <v>5.2524113611478462E-3</v>
      </c>
      <c r="D570">
        <v>1996354146.7754099</v>
      </c>
      <c r="E570">
        <v>115380635.40484799</v>
      </c>
    </row>
    <row r="571" spans="1:5" x14ac:dyDescent="0.25">
      <c r="A571" t="s">
        <v>600</v>
      </c>
      <c r="B571">
        <v>6.1683513343941197E-2</v>
      </c>
      <c r="C571" s="5">
        <f t="shared" si="8"/>
        <v>-3.9472754487387407E-2</v>
      </c>
      <c r="D571">
        <v>1922238791.75844</v>
      </c>
      <c r="E571">
        <v>144333254.89851999</v>
      </c>
    </row>
    <row r="572" spans="1:5" x14ac:dyDescent="0.25">
      <c r="A572" t="s">
        <v>601</v>
      </c>
      <c r="B572">
        <v>6.3242576202314493E-2</v>
      </c>
      <c r="C572" s="5">
        <f t="shared" si="8"/>
        <v>2.5275195491542668E-2</v>
      </c>
      <c r="D572">
        <v>1947276773.1495199</v>
      </c>
      <c r="E572">
        <v>161982471.39610699</v>
      </c>
    </row>
    <row r="573" spans="1:5" x14ac:dyDescent="0.25">
      <c r="A573" t="s">
        <v>602</v>
      </c>
      <c r="B573">
        <v>7.6628150608313794E-2</v>
      </c>
      <c r="C573" s="5">
        <f t="shared" si="8"/>
        <v>0.21165447724929054</v>
      </c>
      <c r="D573">
        <v>2398581543.22297</v>
      </c>
      <c r="E573">
        <v>306602751.36254197</v>
      </c>
    </row>
    <row r="574" spans="1:5" x14ac:dyDescent="0.25">
      <c r="A574" t="s">
        <v>603</v>
      </c>
      <c r="B574">
        <v>6.9985537303330903E-2</v>
      </c>
      <c r="C574" s="5">
        <f t="shared" si="8"/>
        <v>-8.6686332010500022E-2</v>
      </c>
      <c r="D574">
        <v>2174479762.30865</v>
      </c>
      <c r="E574">
        <v>285706502.10042399</v>
      </c>
    </row>
    <row r="575" spans="1:5" x14ac:dyDescent="0.25">
      <c r="A575" t="s">
        <v>604</v>
      </c>
      <c r="B575">
        <v>7.2918842403998901E-2</v>
      </c>
      <c r="C575" s="5">
        <f t="shared" si="8"/>
        <v>4.1913018227673016E-2</v>
      </c>
      <c r="D575">
        <v>2267014811.5324798</v>
      </c>
      <c r="E575">
        <v>230168987.938247</v>
      </c>
    </row>
    <row r="576" spans="1:5" x14ac:dyDescent="0.25">
      <c r="A576" t="s">
        <v>605</v>
      </c>
      <c r="B576">
        <v>8.42992511424277E-2</v>
      </c>
      <c r="C576" s="5">
        <f t="shared" si="8"/>
        <v>0.15606952007516628</v>
      </c>
      <c r="D576">
        <v>2621490905.4878201</v>
      </c>
      <c r="E576">
        <v>332365790.58416599</v>
      </c>
    </row>
    <row r="577" spans="1:5" x14ac:dyDescent="0.25">
      <c r="A577" t="s">
        <v>606</v>
      </c>
      <c r="B577">
        <v>9.4907147072811102E-2</v>
      </c>
      <c r="C577" s="5">
        <f t="shared" si="8"/>
        <v>0.12583618225102433</v>
      </c>
      <c r="D577">
        <v>2946534396.7957602</v>
      </c>
      <c r="E577">
        <v>360409388.03960699</v>
      </c>
    </row>
    <row r="578" spans="1:5" x14ac:dyDescent="0.25">
      <c r="A578" t="s">
        <v>607</v>
      </c>
      <c r="B578">
        <v>8.81720541793896E-2</v>
      </c>
      <c r="C578" s="5">
        <f t="shared" si="8"/>
        <v>-7.0965075878368311E-2</v>
      </c>
      <c r="D578">
        <v>2729337669.1508398</v>
      </c>
      <c r="E578">
        <v>473945748.468813</v>
      </c>
    </row>
    <row r="579" spans="1:5" x14ac:dyDescent="0.25">
      <c r="A579" t="s">
        <v>608</v>
      </c>
      <c r="B579">
        <v>8.3151831940700402E-2</v>
      </c>
      <c r="C579" s="5">
        <f t="shared" si="8"/>
        <v>-5.693665964133432E-2</v>
      </c>
      <c r="D579">
        <v>2593504965.4302802</v>
      </c>
      <c r="E579">
        <v>419268318.26661903</v>
      </c>
    </row>
    <row r="580" spans="1:5" x14ac:dyDescent="0.25">
      <c r="A580" t="s">
        <v>609</v>
      </c>
      <c r="B580">
        <v>7.9275112710115406E-2</v>
      </c>
      <c r="C580" s="5">
        <f t="shared" ref="C580:C643" si="9">B580/B579-1</f>
        <v>-4.6622174642522274E-2</v>
      </c>
      <c r="D580">
        <v>2467980727.7188201</v>
      </c>
      <c r="E580">
        <v>241682031.13007301</v>
      </c>
    </row>
    <row r="581" spans="1:5" x14ac:dyDescent="0.25">
      <c r="A581" t="s">
        <v>610</v>
      </c>
      <c r="B581">
        <v>8.6677757217103302E-2</v>
      </c>
      <c r="C581" s="5">
        <f t="shared" si="9"/>
        <v>9.3379173537817328E-2</v>
      </c>
      <c r="D581">
        <v>2704999271.5429502</v>
      </c>
      <c r="E581">
        <v>276547327.04811299</v>
      </c>
    </row>
    <row r="582" spans="1:5" x14ac:dyDescent="0.25">
      <c r="A582" t="s">
        <v>611</v>
      </c>
      <c r="B582">
        <v>8.4772631125284603E-2</v>
      </c>
      <c r="C582" s="5">
        <f t="shared" si="9"/>
        <v>-2.1979411477466959E-2</v>
      </c>
      <c r="D582">
        <v>2631217917.1617899</v>
      </c>
      <c r="E582">
        <v>261151893.449249</v>
      </c>
    </row>
    <row r="583" spans="1:5" x14ac:dyDescent="0.25">
      <c r="A583" t="s">
        <v>612</v>
      </c>
      <c r="B583">
        <v>8.4504719398814293E-2</v>
      </c>
      <c r="C583" s="5">
        <f t="shared" si="9"/>
        <v>-3.160356389957597E-3</v>
      </c>
      <c r="D583">
        <v>2635936005.9665799</v>
      </c>
      <c r="E583">
        <v>222533700.30083901</v>
      </c>
    </row>
    <row r="584" spans="1:5" x14ac:dyDescent="0.25">
      <c r="A584" t="s">
        <v>613</v>
      </c>
      <c r="B584">
        <v>7.8128999939289803E-2</v>
      </c>
      <c r="C584" s="5">
        <f t="shared" si="9"/>
        <v>-7.5448087454556445E-2</v>
      </c>
      <c r="D584">
        <v>2430816641.9427199</v>
      </c>
      <c r="E584">
        <v>238153710.101937</v>
      </c>
    </row>
    <row r="585" spans="1:5" x14ac:dyDescent="0.25">
      <c r="A585" t="s">
        <v>614</v>
      </c>
      <c r="B585">
        <v>8.0138282481542297E-2</v>
      </c>
      <c r="C585" s="5">
        <f t="shared" si="9"/>
        <v>2.571749982482574E-2</v>
      </c>
      <c r="D585">
        <v>2491081940.7997098</v>
      </c>
      <c r="E585">
        <v>174908198.678202</v>
      </c>
    </row>
    <row r="586" spans="1:5" x14ac:dyDescent="0.25">
      <c r="A586" t="s">
        <v>615</v>
      </c>
      <c r="B586">
        <v>8.0493024800128501E-2</v>
      </c>
      <c r="C586" s="5">
        <f t="shared" si="9"/>
        <v>4.4266274195221555E-3</v>
      </c>
      <c r="D586">
        <v>2503012917.7090302</v>
      </c>
      <c r="E586">
        <v>171347501.020601</v>
      </c>
    </row>
    <row r="587" spans="1:5" x14ac:dyDescent="0.25">
      <c r="A587" t="s">
        <v>616</v>
      </c>
      <c r="B587">
        <v>8.0204269741104506E-2</v>
      </c>
      <c r="C587" s="5">
        <f t="shared" si="9"/>
        <v>-3.5873302033436749E-3</v>
      </c>
      <c r="D587">
        <v>2497541503.5991302</v>
      </c>
      <c r="E587">
        <v>125997531.351515</v>
      </c>
    </row>
    <row r="588" spans="1:5" x14ac:dyDescent="0.25">
      <c r="A588" t="s">
        <v>617</v>
      </c>
      <c r="B588">
        <v>8.5703340442328801E-2</v>
      </c>
      <c r="C588" s="5">
        <f t="shared" si="9"/>
        <v>6.8563316129864882E-2</v>
      </c>
      <c r="D588">
        <v>2661446279.0922098</v>
      </c>
      <c r="E588">
        <v>183825461.011419</v>
      </c>
    </row>
    <row r="589" spans="1:5" x14ac:dyDescent="0.25">
      <c r="A589" t="s">
        <v>618</v>
      </c>
      <c r="B589">
        <v>9.1890182252932995E-2</v>
      </c>
      <c r="C589" s="5">
        <f t="shared" si="9"/>
        <v>7.2189039291501444E-2</v>
      </c>
      <c r="D589">
        <v>2859830610.0531301</v>
      </c>
      <c r="E589">
        <v>257802427.472599</v>
      </c>
    </row>
    <row r="590" spans="1:5" x14ac:dyDescent="0.25">
      <c r="A590" t="s">
        <v>619</v>
      </c>
      <c r="B590">
        <v>9.2935662031017205E-2</v>
      </c>
      <c r="C590" s="5">
        <f t="shared" si="9"/>
        <v>1.1377491615006896E-2</v>
      </c>
      <c r="D590">
        <v>2889958019.6142802</v>
      </c>
      <c r="E590">
        <v>248265042.34704</v>
      </c>
    </row>
    <row r="591" spans="1:5" x14ac:dyDescent="0.25">
      <c r="A591" t="s">
        <v>620</v>
      </c>
      <c r="B591">
        <v>9.0934473337695901E-2</v>
      </c>
      <c r="C591" s="5">
        <f t="shared" si="9"/>
        <v>-2.153305469167921E-2</v>
      </c>
      <c r="D591">
        <v>2828591820.4408302</v>
      </c>
      <c r="E591">
        <v>250941367.85891899</v>
      </c>
    </row>
    <row r="592" spans="1:5" x14ac:dyDescent="0.25">
      <c r="A592" t="s">
        <v>621</v>
      </c>
      <c r="B592">
        <v>8.4898770084791894E-2</v>
      </c>
      <c r="C592" s="5">
        <f t="shared" si="9"/>
        <v>-6.6374203658602693E-2</v>
      </c>
      <c r="D592">
        <v>2640985616.9751101</v>
      </c>
      <c r="E592">
        <v>331448382.08193702</v>
      </c>
    </row>
    <row r="593" spans="1:5" x14ac:dyDescent="0.25">
      <c r="A593" t="s">
        <v>622</v>
      </c>
      <c r="B593">
        <v>8.97929456572919E-2</v>
      </c>
      <c r="C593" s="5">
        <f t="shared" si="9"/>
        <v>5.7647190502430057E-2</v>
      </c>
      <c r="D593">
        <v>2794672967.2028899</v>
      </c>
      <c r="E593">
        <v>277367144.91821998</v>
      </c>
    </row>
    <row r="594" spans="1:5" x14ac:dyDescent="0.25">
      <c r="A594" t="s">
        <v>623</v>
      </c>
      <c r="B594">
        <v>9.0658820629581305E-2</v>
      </c>
      <c r="C594" s="5">
        <f t="shared" si="9"/>
        <v>9.6430177888822133E-3</v>
      </c>
      <c r="D594">
        <v>2821411350.3551798</v>
      </c>
      <c r="E594">
        <v>248203496.84728599</v>
      </c>
    </row>
    <row r="595" spans="1:5" x14ac:dyDescent="0.25">
      <c r="A595" t="s">
        <v>624</v>
      </c>
      <c r="B595">
        <v>9.6378879198603107E-2</v>
      </c>
      <c r="C595" s="5">
        <f t="shared" si="9"/>
        <v>6.3094341281948907E-2</v>
      </c>
      <c r="D595">
        <v>2994934524.8617001</v>
      </c>
      <c r="E595">
        <v>297353290.10191298</v>
      </c>
    </row>
    <row r="596" spans="1:5" x14ac:dyDescent="0.25">
      <c r="A596" t="s">
        <v>625</v>
      </c>
      <c r="B596">
        <v>8.8824875570689105E-2</v>
      </c>
      <c r="C596" s="5">
        <f t="shared" si="9"/>
        <v>-7.837820579286725E-2</v>
      </c>
      <c r="D596">
        <v>2764973440.2656398</v>
      </c>
      <c r="E596">
        <v>351904178.76426899</v>
      </c>
    </row>
    <row r="597" spans="1:5" x14ac:dyDescent="0.25">
      <c r="A597" t="s">
        <v>626</v>
      </c>
      <c r="B597">
        <v>8.2378005511344402E-2</v>
      </c>
      <c r="C597" s="5">
        <f t="shared" si="9"/>
        <v>-7.2579556322756922E-2</v>
      </c>
      <c r="D597">
        <v>2558656183.34095</v>
      </c>
      <c r="E597">
        <v>227552475.949018</v>
      </c>
    </row>
    <row r="598" spans="1:5" x14ac:dyDescent="0.25">
      <c r="A598" t="s">
        <v>627</v>
      </c>
      <c r="B598">
        <v>8.3237265641651195E-2</v>
      </c>
      <c r="C598" s="5">
        <f t="shared" si="9"/>
        <v>1.0430698400296423E-2</v>
      </c>
      <c r="D598">
        <v>2584242198.3764801</v>
      </c>
      <c r="E598">
        <v>201853485.06529</v>
      </c>
    </row>
    <row r="599" spans="1:5" x14ac:dyDescent="0.25">
      <c r="A599" t="s">
        <v>628</v>
      </c>
      <c r="B599">
        <v>8.3860049789953497E-2</v>
      </c>
      <c r="C599" s="5">
        <f t="shared" si="9"/>
        <v>7.4820351617925773E-3</v>
      </c>
      <c r="D599">
        <v>2610699173.5034699</v>
      </c>
      <c r="E599">
        <v>249770623.67646801</v>
      </c>
    </row>
    <row r="600" spans="1:5" x14ac:dyDescent="0.25">
      <c r="A600" t="s">
        <v>629</v>
      </c>
      <c r="B600">
        <v>8.5773804401773596E-2</v>
      </c>
      <c r="C600" s="5">
        <f t="shared" si="9"/>
        <v>2.2820814161373937E-2</v>
      </c>
      <c r="D600">
        <v>2671196811.1532898</v>
      </c>
      <c r="E600">
        <v>209735394.75958499</v>
      </c>
    </row>
    <row r="601" spans="1:5" x14ac:dyDescent="0.25">
      <c r="A601" t="s">
        <v>630</v>
      </c>
      <c r="B601">
        <v>8.4302440197252498E-2</v>
      </c>
      <c r="C601" s="5">
        <f t="shared" si="9"/>
        <v>-1.7154004241540566E-2</v>
      </c>
      <c r="D601">
        <v>2622858376.25735</v>
      </c>
      <c r="E601">
        <v>179902940.06106499</v>
      </c>
    </row>
    <row r="602" spans="1:5" x14ac:dyDescent="0.25">
      <c r="A602" t="s">
        <v>631</v>
      </c>
      <c r="B602">
        <v>7.9250540841949602E-2</v>
      </c>
      <c r="C602" s="5">
        <f t="shared" si="9"/>
        <v>-5.9925897085331914E-2</v>
      </c>
      <c r="D602">
        <v>2469204758.8599601</v>
      </c>
      <c r="E602">
        <v>190031453.067727</v>
      </c>
    </row>
    <row r="603" spans="1:5" x14ac:dyDescent="0.25">
      <c r="A603" t="s">
        <v>632</v>
      </c>
      <c r="B603">
        <v>8.5448813694795706E-2</v>
      </c>
      <c r="C603" s="5">
        <f t="shared" si="9"/>
        <v>7.821111107881773E-2</v>
      </c>
      <c r="D603">
        <v>2663343982.2116199</v>
      </c>
      <c r="E603">
        <v>235859709.32807899</v>
      </c>
    </row>
    <row r="604" spans="1:5" x14ac:dyDescent="0.25">
      <c r="A604" t="s">
        <v>633</v>
      </c>
      <c r="B604">
        <v>8.7873782959837402E-2</v>
      </c>
      <c r="C604" s="5">
        <f t="shared" si="9"/>
        <v>2.8379203410630716E-2</v>
      </c>
      <c r="D604">
        <v>2742995916.5450501</v>
      </c>
      <c r="E604">
        <v>253347634.72266799</v>
      </c>
    </row>
    <row r="605" spans="1:5" x14ac:dyDescent="0.25">
      <c r="A605" t="s">
        <v>634</v>
      </c>
      <c r="B605">
        <v>9.6198761119239806E-2</v>
      </c>
      <c r="C605" s="5">
        <f t="shared" si="9"/>
        <v>9.4737905652785281E-2</v>
      </c>
      <c r="D605">
        <v>2975683026.8447599</v>
      </c>
      <c r="E605">
        <v>376113617.203641</v>
      </c>
    </row>
    <row r="606" spans="1:5" x14ac:dyDescent="0.25">
      <c r="A606" t="s">
        <v>635</v>
      </c>
      <c r="B606">
        <v>8.9834399412455704E-2</v>
      </c>
      <c r="C606" s="5">
        <f t="shared" si="9"/>
        <v>-6.6158458100051609E-2</v>
      </c>
      <c r="D606">
        <v>2796706743.4341402</v>
      </c>
      <c r="E606">
        <v>348557657.64185202</v>
      </c>
    </row>
    <row r="607" spans="1:5" x14ac:dyDescent="0.25">
      <c r="A607" t="s">
        <v>636</v>
      </c>
      <c r="B607">
        <v>9.0273187343234806E-2</v>
      </c>
      <c r="C607" s="5">
        <f t="shared" si="9"/>
        <v>4.8844087971746664E-3</v>
      </c>
      <c r="D607">
        <v>2817397668.8695402</v>
      </c>
      <c r="E607">
        <v>309320337.76228702</v>
      </c>
    </row>
    <row r="608" spans="1:5" x14ac:dyDescent="0.25">
      <c r="A608" t="s">
        <v>637</v>
      </c>
      <c r="B608">
        <v>9.1514252481616598E-2</v>
      </c>
      <c r="C608" s="5">
        <f t="shared" si="9"/>
        <v>1.3747882122108201E-2</v>
      </c>
      <c r="D608">
        <v>2847331607.9208698</v>
      </c>
      <c r="E608">
        <v>274801292.68918103</v>
      </c>
    </row>
    <row r="609" spans="1:5" x14ac:dyDescent="0.25">
      <c r="A609" t="s">
        <v>638</v>
      </c>
      <c r="B609">
        <v>9.2248501351385501E-2</v>
      </c>
      <c r="C609" s="5">
        <f t="shared" si="9"/>
        <v>8.0233280593795531E-3</v>
      </c>
      <c r="D609">
        <v>2877948520.14888</v>
      </c>
      <c r="E609">
        <v>348312939.74267</v>
      </c>
    </row>
    <row r="610" spans="1:5" x14ac:dyDescent="0.25">
      <c r="A610" t="s">
        <v>639</v>
      </c>
      <c r="B610">
        <v>9.3138246298246602E-2</v>
      </c>
      <c r="C610" s="5">
        <f t="shared" si="9"/>
        <v>9.6450883627037243E-3</v>
      </c>
      <c r="D610">
        <v>2896488284.2348499</v>
      </c>
      <c r="E610">
        <v>289880198.22884601</v>
      </c>
    </row>
    <row r="611" spans="1:5" x14ac:dyDescent="0.25">
      <c r="A611" t="s">
        <v>640</v>
      </c>
      <c r="B611">
        <v>8.9585936047075404E-2</v>
      </c>
      <c r="C611" s="5">
        <f t="shared" si="9"/>
        <v>-3.8140188293818822E-2</v>
      </c>
      <c r="D611">
        <v>2783192130.4349298</v>
      </c>
      <c r="E611">
        <v>251155012.22370201</v>
      </c>
    </row>
    <row r="612" spans="1:5" x14ac:dyDescent="0.25">
      <c r="A612" t="s">
        <v>641</v>
      </c>
      <c r="B612">
        <v>9.0160743059806495E-2</v>
      </c>
      <c r="C612" s="5">
        <f t="shared" si="9"/>
        <v>6.4162639594349535E-3</v>
      </c>
      <c r="D612">
        <v>2801766325.3039098</v>
      </c>
      <c r="E612">
        <v>227201840.03856099</v>
      </c>
    </row>
    <row r="613" spans="1:5" x14ac:dyDescent="0.25">
      <c r="A613" t="s">
        <v>642</v>
      </c>
      <c r="B613">
        <v>8.8357588157966904E-2</v>
      </c>
      <c r="C613" s="5">
        <f t="shared" si="9"/>
        <v>-1.9999334972688687E-2</v>
      </c>
      <c r="D613">
        <v>2748199233.2762299</v>
      </c>
      <c r="E613">
        <v>302506726.02670097</v>
      </c>
    </row>
    <row r="614" spans="1:5" x14ac:dyDescent="0.25">
      <c r="A614" t="s">
        <v>643</v>
      </c>
      <c r="B614">
        <v>8.9484939179041101E-2</v>
      </c>
      <c r="C614" s="5">
        <f t="shared" si="9"/>
        <v>1.2758960996747781E-2</v>
      </c>
      <c r="D614">
        <v>2782660835.1937799</v>
      </c>
      <c r="E614">
        <v>189893730.24152899</v>
      </c>
    </row>
    <row r="615" spans="1:5" x14ac:dyDescent="0.25">
      <c r="A615" t="s">
        <v>644</v>
      </c>
      <c r="B615">
        <v>9.4393212728834303E-2</v>
      </c>
      <c r="C615" s="5">
        <f t="shared" si="9"/>
        <v>5.4850275306917773E-2</v>
      </c>
      <c r="D615">
        <v>2933643538.6421099</v>
      </c>
      <c r="E615">
        <v>325185108.64961201</v>
      </c>
    </row>
    <row r="616" spans="1:5" x14ac:dyDescent="0.25">
      <c r="A616" t="s">
        <v>645</v>
      </c>
      <c r="B616">
        <v>9.6525283105753507E-2</v>
      </c>
      <c r="C616" s="5">
        <f t="shared" si="9"/>
        <v>2.2587115273256408E-2</v>
      </c>
      <c r="D616">
        <v>3003824360.2907901</v>
      </c>
      <c r="E616">
        <v>296516343.51033199</v>
      </c>
    </row>
    <row r="617" spans="1:5" x14ac:dyDescent="0.25">
      <c r="A617" t="s">
        <v>646</v>
      </c>
      <c r="B617">
        <v>9.7686524203026301E-2</v>
      </c>
      <c r="C617" s="5">
        <f t="shared" si="9"/>
        <v>1.203043451320962E-2</v>
      </c>
      <c r="D617">
        <v>3031937323.8164902</v>
      </c>
      <c r="E617">
        <v>212523520.59520999</v>
      </c>
    </row>
    <row r="618" spans="1:5" x14ac:dyDescent="0.25">
      <c r="A618" t="s">
        <v>647</v>
      </c>
      <c r="B618">
        <v>9.6750595276994394E-2</v>
      </c>
      <c r="C618" s="5">
        <f t="shared" si="9"/>
        <v>-9.5809420354308061E-3</v>
      </c>
      <c r="D618">
        <v>3005189236.9946699</v>
      </c>
      <c r="E618">
        <v>328043140.00776398</v>
      </c>
    </row>
    <row r="619" spans="1:5" x14ac:dyDescent="0.25">
      <c r="A619" t="s">
        <v>648</v>
      </c>
      <c r="B619">
        <v>9.7876579064555103E-2</v>
      </c>
      <c r="C619" s="5">
        <f t="shared" si="9"/>
        <v>1.1638003718086098E-2</v>
      </c>
      <c r="D619">
        <v>3044379770.1283002</v>
      </c>
      <c r="E619">
        <v>671946279.16429901</v>
      </c>
    </row>
    <row r="620" spans="1:5" x14ac:dyDescent="0.25">
      <c r="A620" t="s">
        <v>649</v>
      </c>
      <c r="B620">
        <v>8.6382254078642001E-2</v>
      </c>
      <c r="C620" s="5">
        <f t="shared" si="9"/>
        <v>-0.1174369302213959</v>
      </c>
      <c r="D620">
        <v>2685995312.93606</v>
      </c>
      <c r="E620">
        <v>425821930.87587303</v>
      </c>
    </row>
    <row r="621" spans="1:5" x14ac:dyDescent="0.25">
      <c r="A621" t="s">
        <v>650</v>
      </c>
      <c r="B621">
        <v>8.9046129918044503E-2</v>
      </c>
      <c r="C621" s="5">
        <f t="shared" si="9"/>
        <v>3.0838230233924291E-2</v>
      </c>
      <c r="D621">
        <v>2763836871.0079002</v>
      </c>
      <c r="E621">
        <v>418527931.38976002</v>
      </c>
    </row>
    <row r="622" spans="1:5" x14ac:dyDescent="0.25">
      <c r="A622" t="s">
        <v>651</v>
      </c>
      <c r="B622">
        <v>9.0459721439673693E-2</v>
      </c>
      <c r="C622" s="5">
        <f t="shared" si="9"/>
        <v>1.5874822666972932E-2</v>
      </c>
      <c r="D622">
        <v>2815098679.1201901</v>
      </c>
      <c r="E622">
        <v>346418708.93437999</v>
      </c>
    </row>
    <row r="623" spans="1:5" x14ac:dyDescent="0.25">
      <c r="A623" t="s">
        <v>652</v>
      </c>
      <c r="B623">
        <v>8.3308284301553306E-2</v>
      </c>
      <c r="C623" s="5">
        <f t="shared" si="9"/>
        <v>-7.9056590317819864E-2</v>
      </c>
      <c r="D623">
        <v>2571108566.8776002</v>
      </c>
      <c r="E623">
        <v>337900612.36273599</v>
      </c>
    </row>
    <row r="624" spans="1:5" x14ac:dyDescent="0.25">
      <c r="A624" t="s">
        <v>653</v>
      </c>
      <c r="B624">
        <v>8.3677701861406995E-2</v>
      </c>
      <c r="C624" s="5">
        <f t="shared" si="9"/>
        <v>4.4343436304186135E-3</v>
      </c>
      <c r="D624">
        <v>2601220003.7512598</v>
      </c>
      <c r="E624">
        <v>349024670.384009</v>
      </c>
    </row>
    <row r="625" spans="1:5" x14ac:dyDescent="0.25">
      <c r="A625" t="s">
        <v>654</v>
      </c>
      <c r="B625">
        <v>8.0884853558293696E-2</v>
      </c>
      <c r="C625" s="5">
        <f t="shared" si="9"/>
        <v>-3.3376254856270049E-2</v>
      </c>
      <c r="D625">
        <v>2508983263.5802898</v>
      </c>
      <c r="E625">
        <v>360130368.671332</v>
      </c>
    </row>
    <row r="626" spans="1:5" x14ac:dyDescent="0.25">
      <c r="A626" t="s">
        <v>655</v>
      </c>
      <c r="B626">
        <v>8.2728598060132802E-2</v>
      </c>
      <c r="C626" s="5">
        <f t="shared" si="9"/>
        <v>2.2794681831380448E-2</v>
      </c>
      <c r="D626">
        <v>2574110651.8561401</v>
      </c>
      <c r="E626">
        <v>321767772.31681103</v>
      </c>
    </row>
    <row r="627" spans="1:5" x14ac:dyDescent="0.25">
      <c r="A627" t="s">
        <v>656</v>
      </c>
      <c r="B627">
        <v>7.8905171201271801E-2</v>
      </c>
      <c r="C627" s="5">
        <f t="shared" si="9"/>
        <v>-4.6216507332589751E-2</v>
      </c>
      <c r="D627">
        <v>2450389762.4538798</v>
      </c>
      <c r="E627">
        <v>271096158.744497</v>
      </c>
    </row>
    <row r="628" spans="1:5" x14ac:dyDescent="0.25">
      <c r="A628" t="s">
        <v>657</v>
      </c>
      <c r="B628">
        <v>7.6341631325872905E-2</v>
      </c>
      <c r="C628" s="5">
        <f t="shared" si="9"/>
        <v>-3.2488870328407304E-2</v>
      </c>
      <c r="D628">
        <v>2374193617.59905</v>
      </c>
      <c r="E628">
        <v>281659364.13267201</v>
      </c>
    </row>
    <row r="629" spans="1:5" x14ac:dyDescent="0.25">
      <c r="A629" t="s">
        <v>658</v>
      </c>
      <c r="B629">
        <v>7.7472585415661793E-2</v>
      </c>
      <c r="C629" s="5">
        <f t="shared" si="9"/>
        <v>1.4814382010796656E-2</v>
      </c>
      <c r="D629">
        <v>2412564608.1831298</v>
      </c>
      <c r="E629">
        <v>311096812.31531799</v>
      </c>
    </row>
    <row r="630" spans="1:5" x14ac:dyDescent="0.25">
      <c r="A630" t="s">
        <v>659</v>
      </c>
      <c r="B630">
        <v>7.9701823084879594E-2</v>
      </c>
      <c r="C630" s="5">
        <f t="shared" si="9"/>
        <v>2.8774535627761999E-2</v>
      </c>
      <c r="D630">
        <v>2473664824.1434202</v>
      </c>
      <c r="E630">
        <v>283632330.84825999</v>
      </c>
    </row>
    <row r="631" spans="1:5" x14ac:dyDescent="0.25">
      <c r="A631" t="s">
        <v>660</v>
      </c>
      <c r="B631">
        <v>8.0303583040951407E-2</v>
      </c>
      <c r="C631" s="5">
        <f t="shared" si="9"/>
        <v>7.5501404206395062E-3</v>
      </c>
      <c r="D631">
        <v>2494041314.5068002</v>
      </c>
      <c r="E631">
        <v>264778872.233154</v>
      </c>
    </row>
    <row r="632" spans="1:5" x14ac:dyDescent="0.25">
      <c r="A632" t="s">
        <v>661</v>
      </c>
      <c r="B632">
        <v>7.7953215976593604E-2</v>
      </c>
      <c r="C632" s="5">
        <f t="shared" si="9"/>
        <v>-2.9268520473852533E-2</v>
      </c>
      <c r="D632">
        <v>2421239430.58494</v>
      </c>
      <c r="E632">
        <v>270224457.16875702</v>
      </c>
    </row>
    <row r="633" spans="1:5" x14ac:dyDescent="0.25">
      <c r="A633" t="s">
        <v>662</v>
      </c>
      <c r="B633">
        <v>7.1893365391785993E-2</v>
      </c>
      <c r="C633" s="5">
        <f t="shared" si="9"/>
        <v>-7.7737018401231261E-2</v>
      </c>
      <c r="D633">
        <v>2237805031.6634202</v>
      </c>
      <c r="E633">
        <v>221231598.57233301</v>
      </c>
    </row>
    <row r="634" spans="1:5" x14ac:dyDescent="0.25">
      <c r="A634" t="s">
        <v>663</v>
      </c>
      <c r="B634">
        <v>6.5127614248176105E-2</v>
      </c>
      <c r="C634" s="5">
        <f t="shared" si="9"/>
        <v>-9.4108143453010329E-2</v>
      </c>
      <c r="D634">
        <v>2022544559.06918</v>
      </c>
      <c r="E634">
        <v>274303313.97290599</v>
      </c>
    </row>
    <row r="635" spans="1:5" x14ac:dyDescent="0.25">
      <c r="A635" t="s">
        <v>664</v>
      </c>
      <c r="B635">
        <v>6.9545249218245606E-2</v>
      </c>
      <c r="C635" s="5">
        <f t="shared" si="9"/>
        <v>6.7830443676865082E-2</v>
      </c>
      <c r="D635">
        <v>2161637825.87988</v>
      </c>
      <c r="E635">
        <v>270563781.62201101</v>
      </c>
    </row>
    <row r="636" spans="1:5" x14ac:dyDescent="0.25">
      <c r="A636" t="s">
        <v>665</v>
      </c>
      <c r="B636">
        <v>6.7181824117160505E-2</v>
      </c>
      <c r="C636" s="5">
        <f t="shared" si="9"/>
        <v>-3.3983990677324938E-2</v>
      </c>
      <c r="D636">
        <v>2086539190.1500101</v>
      </c>
      <c r="E636">
        <v>229698210.92260399</v>
      </c>
    </row>
    <row r="637" spans="1:5" x14ac:dyDescent="0.25">
      <c r="A637" t="s">
        <v>666</v>
      </c>
      <c r="B637">
        <v>5.9465709066443703E-2</v>
      </c>
      <c r="C637" s="5">
        <f t="shared" si="9"/>
        <v>-0.11485420576345806</v>
      </c>
      <c r="D637">
        <v>1853240285.0037301</v>
      </c>
      <c r="E637">
        <v>208552058.861711</v>
      </c>
    </row>
    <row r="638" spans="1:5" x14ac:dyDescent="0.25">
      <c r="A638" t="s">
        <v>667</v>
      </c>
      <c r="B638">
        <v>5.8639660428057003E-2</v>
      </c>
      <c r="C638" s="5">
        <f t="shared" si="9"/>
        <v>-1.3891176130830574E-2</v>
      </c>
      <c r="D638">
        <v>1830497000.8659501</v>
      </c>
      <c r="E638">
        <v>272335513.221147</v>
      </c>
    </row>
    <row r="639" spans="1:5" x14ac:dyDescent="0.25">
      <c r="A639" t="s">
        <v>668</v>
      </c>
      <c r="B639">
        <v>5.2113580821845099E-2</v>
      </c>
      <c r="C639" s="5">
        <f t="shared" si="9"/>
        <v>-0.11129122437907923</v>
      </c>
      <c r="D639">
        <v>1622987702.91875</v>
      </c>
      <c r="E639">
        <v>191797018.552178</v>
      </c>
    </row>
    <row r="640" spans="1:5" x14ac:dyDescent="0.25">
      <c r="A640" t="s">
        <v>669</v>
      </c>
      <c r="B640">
        <v>5.4939916617074702E-2</v>
      </c>
      <c r="C640" s="5">
        <f t="shared" si="9"/>
        <v>5.4234150688890148E-2</v>
      </c>
      <c r="D640">
        <v>1709568873.9207799</v>
      </c>
      <c r="E640">
        <v>182179811.40635899</v>
      </c>
    </row>
    <row r="641" spans="1:5" x14ac:dyDescent="0.25">
      <c r="A641" t="s">
        <v>670</v>
      </c>
      <c r="B641">
        <v>5.8716375847181798E-2</v>
      </c>
      <c r="C641" s="5">
        <f t="shared" si="9"/>
        <v>6.8737986197332734E-2</v>
      </c>
      <c r="D641">
        <v>1840798635.8947401</v>
      </c>
      <c r="E641">
        <v>160406339.49625099</v>
      </c>
    </row>
    <row r="642" spans="1:5" x14ac:dyDescent="0.25">
      <c r="A642" t="s">
        <v>671</v>
      </c>
      <c r="B642">
        <v>5.9842566053527599E-2</v>
      </c>
      <c r="C642" s="5">
        <f t="shared" si="9"/>
        <v>1.9180172313033816E-2</v>
      </c>
      <c r="D642">
        <v>1860783601.0380099</v>
      </c>
      <c r="E642">
        <v>123846520.18301401</v>
      </c>
    </row>
    <row r="643" spans="1:5" x14ac:dyDescent="0.25">
      <c r="A643" t="s">
        <v>672</v>
      </c>
      <c r="B643">
        <v>6.3023956060808503E-2</v>
      </c>
      <c r="C643" s="5">
        <f t="shared" si="9"/>
        <v>5.316266024480365E-2</v>
      </c>
      <c r="D643">
        <v>1953094143.37167</v>
      </c>
      <c r="E643">
        <v>142341440.644797</v>
      </c>
    </row>
    <row r="644" spans="1:5" x14ac:dyDescent="0.25">
      <c r="A644" t="s">
        <v>673</v>
      </c>
      <c r="B644">
        <v>6.1312718930535602E-2</v>
      </c>
      <c r="C644" s="5">
        <f t="shared" ref="C644:C707" si="10">B644/B643-1</f>
        <v>-2.7152169384952907E-2</v>
      </c>
      <c r="D644">
        <v>1908506128.41504</v>
      </c>
      <c r="E644">
        <v>114129502.70549899</v>
      </c>
    </row>
    <row r="645" spans="1:5" x14ac:dyDescent="0.25">
      <c r="A645" t="s">
        <v>674</v>
      </c>
      <c r="B645">
        <v>5.9987636321957E-2</v>
      </c>
      <c r="C645" s="5">
        <f t="shared" si="10"/>
        <v>-2.1611871593557264E-2</v>
      </c>
      <c r="D645">
        <v>1868514715.39432</v>
      </c>
      <c r="E645">
        <v>137533640.90741101</v>
      </c>
    </row>
    <row r="646" spans="1:5" x14ac:dyDescent="0.25">
      <c r="A646" t="s">
        <v>675</v>
      </c>
      <c r="B646">
        <v>5.5693226417051898E-2</v>
      </c>
      <c r="C646" s="5">
        <f t="shared" si="10"/>
        <v>-7.1588249982992513E-2</v>
      </c>
      <c r="D646">
        <v>1730268750.3536301</v>
      </c>
      <c r="E646">
        <v>132067766.55369601</v>
      </c>
    </row>
    <row r="647" spans="1:5" x14ac:dyDescent="0.25">
      <c r="A647" t="s">
        <v>676</v>
      </c>
      <c r="B647">
        <v>5.6397027210533197E-2</v>
      </c>
      <c r="C647" s="5">
        <f t="shared" si="10"/>
        <v>1.2637098598148544E-2</v>
      </c>
      <c r="D647">
        <v>1757974757.43922</v>
      </c>
      <c r="E647">
        <v>321291248.963139</v>
      </c>
    </row>
    <row r="648" spans="1:5" x14ac:dyDescent="0.25">
      <c r="A648" t="s">
        <v>677</v>
      </c>
      <c r="B648">
        <v>5.83521746363658E-2</v>
      </c>
      <c r="C648" s="5">
        <f t="shared" si="10"/>
        <v>3.4667561794240243E-2</v>
      </c>
      <c r="D648">
        <v>1818348081.89906</v>
      </c>
      <c r="E648">
        <v>228185321.407103</v>
      </c>
    </row>
    <row r="649" spans="1:5" x14ac:dyDescent="0.25">
      <c r="A649" t="s">
        <v>678</v>
      </c>
      <c r="B649">
        <v>6.2609679646995195E-2</v>
      </c>
      <c r="C649" s="5">
        <f t="shared" si="10"/>
        <v>7.2962233835516033E-2</v>
      </c>
      <c r="D649">
        <v>1946033142.80793</v>
      </c>
      <c r="E649">
        <v>123191563.962952</v>
      </c>
    </row>
    <row r="650" spans="1:5" x14ac:dyDescent="0.25">
      <c r="A650" t="s">
        <v>679</v>
      </c>
      <c r="B650">
        <v>5.98518476675877E-2</v>
      </c>
      <c r="C650" s="5">
        <f t="shared" si="10"/>
        <v>-4.4048012942354164E-2</v>
      </c>
      <c r="D650">
        <v>1862033380.5434</v>
      </c>
      <c r="E650">
        <v>112342864.81309199</v>
      </c>
    </row>
    <row r="651" spans="1:5" x14ac:dyDescent="0.25">
      <c r="A651" t="s">
        <v>680</v>
      </c>
      <c r="B651">
        <v>5.9443672447409002E-2</v>
      </c>
      <c r="C651" s="5">
        <f t="shared" si="10"/>
        <v>-6.819759724806973E-3</v>
      </c>
      <c r="D651">
        <v>1853935272.71945</v>
      </c>
      <c r="E651">
        <v>80607218.932327494</v>
      </c>
    </row>
    <row r="652" spans="1:5" x14ac:dyDescent="0.25">
      <c r="A652" t="s">
        <v>681</v>
      </c>
      <c r="B652">
        <v>6.03342079631871E-2</v>
      </c>
      <c r="C652" s="5">
        <f t="shared" si="10"/>
        <v>1.4981165851857048E-2</v>
      </c>
      <c r="D652">
        <v>1871322804.2590301</v>
      </c>
      <c r="E652">
        <v>100780729.635022</v>
      </c>
    </row>
    <row r="653" spans="1:5" x14ac:dyDescent="0.25">
      <c r="A653" t="s">
        <v>682</v>
      </c>
      <c r="B653">
        <v>5.9833128401102199E-2</v>
      </c>
      <c r="C653" s="5">
        <f t="shared" si="10"/>
        <v>-8.3050657164611685E-3</v>
      </c>
      <c r="D653">
        <v>1861201640.74827</v>
      </c>
      <c r="E653">
        <v>82533252.626712203</v>
      </c>
    </row>
    <row r="654" spans="1:5" x14ac:dyDescent="0.25">
      <c r="A654" t="s">
        <v>683</v>
      </c>
      <c r="B654">
        <v>6.3978798268042994E-2</v>
      </c>
      <c r="C654" s="5">
        <f t="shared" si="10"/>
        <v>6.9287198876675005E-2</v>
      </c>
      <c r="D654">
        <v>1988646316.7879801</v>
      </c>
      <c r="E654">
        <v>109275867.92471901</v>
      </c>
    </row>
    <row r="655" spans="1:5" x14ac:dyDescent="0.25">
      <c r="A655" t="s">
        <v>684</v>
      </c>
      <c r="B655">
        <v>5.8597559158647498E-2</v>
      </c>
      <c r="C655" s="5">
        <f t="shared" si="10"/>
        <v>-8.410972470677669E-2</v>
      </c>
      <c r="D655">
        <v>1823387409.1827099</v>
      </c>
      <c r="E655">
        <v>97796321.098041698</v>
      </c>
    </row>
    <row r="656" spans="1:5" x14ac:dyDescent="0.25">
      <c r="A656" t="s">
        <v>685</v>
      </c>
      <c r="B656">
        <v>5.76035980944542E-2</v>
      </c>
      <c r="C656" s="5">
        <f t="shared" si="10"/>
        <v>-1.6962499436234846E-2</v>
      </c>
      <c r="D656">
        <v>1792264515.59413</v>
      </c>
      <c r="E656">
        <v>106871562.399388</v>
      </c>
    </row>
    <row r="657" spans="1:5" x14ac:dyDescent="0.25">
      <c r="A657" t="s">
        <v>686</v>
      </c>
      <c r="B657">
        <v>5.7582695764954797E-2</v>
      </c>
      <c r="C657" s="5">
        <f t="shared" si="10"/>
        <v>-3.6286499786231108E-4</v>
      </c>
      <c r="D657">
        <v>1791323846.98246</v>
      </c>
      <c r="E657">
        <v>96829769.248259097</v>
      </c>
    </row>
    <row r="658" spans="1:5" x14ac:dyDescent="0.25">
      <c r="A658" t="s">
        <v>687</v>
      </c>
      <c r="B658">
        <v>5.6201082094718802E-2</v>
      </c>
      <c r="C658" s="5">
        <f t="shared" si="10"/>
        <v>-2.3993556603802757E-2</v>
      </c>
      <c r="D658">
        <v>1750395515.7439201</v>
      </c>
      <c r="E658">
        <v>100557798.545155</v>
      </c>
    </row>
    <row r="659" spans="1:5" x14ac:dyDescent="0.25">
      <c r="A659" t="s">
        <v>688</v>
      </c>
      <c r="B659">
        <v>5.6482892795423602E-2</v>
      </c>
      <c r="C659" s="5">
        <f t="shared" si="10"/>
        <v>5.0143287317823138E-3</v>
      </c>
      <c r="D659">
        <v>1761490516.5599201</v>
      </c>
      <c r="E659">
        <v>118562437.329046</v>
      </c>
    </row>
    <row r="660" spans="1:5" x14ac:dyDescent="0.25">
      <c r="A660" t="s">
        <v>689</v>
      </c>
      <c r="B660">
        <v>5.3764486901642497E-2</v>
      </c>
      <c r="C660" s="5">
        <f t="shared" si="10"/>
        <v>-4.8127950946615816E-2</v>
      </c>
      <c r="D660">
        <v>1669756002.0701499</v>
      </c>
      <c r="E660">
        <v>107284678.50501899</v>
      </c>
    </row>
    <row r="661" spans="1:5" x14ac:dyDescent="0.25">
      <c r="A661" t="s">
        <v>690</v>
      </c>
      <c r="B661">
        <v>5.1870008519720297E-2</v>
      </c>
      <c r="C661" s="5">
        <f t="shared" si="10"/>
        <v>-3.5236612327166572E-2</v>
      </c>
      <c r="D661">
        <v>1614046617.12379</v>
      </c>
      <c r="E661">
        <v>99840621.625713006</v>
      </c>
    </row>
    <row r="662" spans="1:5" x14ac:dyDescent="0.25">
      <c r="A662" t="s">
        <v>691</v>
      </c>
      <c r="B662">
        <v>5.2513000803115398E-2</v>
      </c>
      <c r="C662" s="5">
        <f t="shared" si="10"/>
        <v>1.2396224750004459E-2</v>
      </c>
      <c r="D662">
        <v>1634550495.59884</v>
      </c>
      <c r="E662">
        <v>113611883.543364</v>
      </c>
    </row>
    <row r="663" spans="1:5" x14ac:dyDescent="0.25">
      <c r="A663" t="s">
        <v>692</v>
      </c>
      <c r="B663">
        <v>4.7608445799400302E-2</v>
      </c>
      <c r="C663" s="5">
        <f t="shared" si="10"/>
        <v>-9.3396967012102761E-2</v>
      </c>
      <c r="D663">
        <v>1480799454.9126899</v>
      </c>
      <c r="E663">
        <v>98885536.976764798</v>
      </c>
    </row>
    <row r="664" spans="1:5" x14ac:dyDescent="0.25">
      <c r="A664" t="s">
        <v>693</v>
      </c>
      <c r="B664">
        <v>5.1977493522885797E-2</v>
      </c>
      <c r="C664" s="5">
        <f t="shared" si="10"/>
        <v>9.1770433798545215E-2</v>
      </c>
      <c r="D664">
        <v>1617713769.32213</v>
      </c>
      <c r="E664">
        <v>122064083.188201</v>
      </c>
    </row>
    <row r="665" spans="1:5" x14ac:dyDescent="0.25">
      <c r="A665" t="s">
        <v>694</v>
      </c>
      <c r="B665">
        <v>5.5142333964456003E-2</v>
      </c>
      <c r="C665" s="5">
        <f t="shared" si="10"/>
        <v>6.0888669827388275E-2</v>
      </c>
      <c r="D665">
        <v>1714947082.3845301</v>
      </c>
      <c r="E665">
        <v>121512163.109529</v>
      </c>
    </row>
    <row r="666" spans="1:5" x14ac:dyDescent="0.25">
      <c r="A666" t="s">
        <v>695</v>
      </c>
      <c r="B666">
        <v>5.2964319278235403E-2</v>
      </c>
      <c r="C666" s="5">
        <f t="shared" si="10"/>
        <v>-3.9498050402155926E-2</v>
      </c>
      <c r="D666">
        <v>1646774788.1645701</v>
      </c>
      <c r="E666">
        <v>96213549.933629096</v>
      </c>
    </row>
    <row r="667" spans="1:5" x14ac:dyDescent="0.25">
      <c r="A667" t="s">
        <v>696</v>
      </c>
      <c r="B667">
        <v>5.2881836993092401E-2</v>
      </c>
      <c r="C667" s="5">
        <f t="shared" si="10"/>
        <v>-1.557317950405479E-3</v>
      </c>
      <c r="D667">
        <v>1645456062.5378201</v>
      </c>
      <c r="E667">
        <v>114096214.889351</v>
      </c>
    </row>
    <row r="668" spans="1:5" x14ac:dyDescent="0.25">
      <c r="A668" t="s">
        <v>697</v>
      </c>
      <c r="B668">
        <v>4.6872256846815799E-2</v>
      </c>
      <c r="C668" s="5">
        <f t="shared" si="10"/>
        <v>-0.11364166768755768</v>
      </c>
      <c r="D668">
        <v>1456400422.77423</v>
      </c>
      <c r="E668">
        <v>125290248.071439</v>
      </c>
    </row>
    <row r="669" spans="1:5" x14ac:dyDescent="0.25">
      <c r="A669" t="s">
        <v>698</v>
      </c>
      <c r="B669">
        <v>4.7546090169156098E-2</v>
      </c>
      <c r="C669" s="5">
        <f t="shared" si="10"/>
        <v>1.437595216595744E-2</v>
      </c>
      <c r="D669">
        <v>1477218184.43928</v>
      </c>
      <c r="E669">
        <v>102942548.59450699</v>
      </c>
    </row>
    <row r="670" spans="1:5" x14ac:dyDescent="0.25">
      <c r="A670" t="s">
        <v>699</v>
      </c>
      <c r="B670">
        <v>4.66719398026876E-2</v>
      </c>
      <c r="C670" s="5">
        <f t="shared" si="10"/>
        <v>-1.8385325972304134E-2</v>
      </c>
      <c r="D670">
        <v>1451381909.2079899</v>
      </c>
      <c r="E670">
        <v>99397950.139910698</v>
      </c>
    </row>
    <row r="671" spans="1:5" x14ac:dyDescent="0.25">
      <c r="A671" t="s">
        <v>700</v>
      </c>
      <c r="B671">
        <v>4.7370463249493899E-2</v>
      </c>
      <c r="C671" s="5">
        <f t="shared" si="10"/>
        <v>1.4966668404172045E-2</v>
      </c>
      <c r="D671">
        <v>1473825286.9820001</v>
      </c>
      <c r="E671">
        <v>90275825.091104299</v>
      </c>
    </row>
    <row r="672" spans="1:5" x14ac:dyDescent="0.25">
      <c r="A672" t="s">
        <v>701</v>
      </c>
      <c r="B672">
        <v>5.0664389627676401E-2</v>
      </c>
      <c r="C672" s="5">
        <f t="shared" si="10"/>
        <v>6.9535447876746037E-2</v>
      </c>
      <c r="D672">
        <v>1574102763.85653</v>
      </c>
      <c r="E672">
        <v>95155572.117701203</v>
      </c>
    </row>
    <row r="673" spans="1:5" x14ac:dyDescent="0.25">
      <c r="A673" t="s">
        <v>702</v>
      </c>
      <c r="B673">
        <v>5.0194544432130603E-2</v>
      </c>
      <c r="C673" s="5">
        <f t="shared" si="10"/>
        <v>-9.2736772119156319E-3</v>
      </c>
      <c r="D673">
        <v>1562503919.50349</v>
      </c>
      <c r="E673">
        <v>93699314.142828196</v>
      </c>
    </row>
    <row r="674" spans="1:5" x14ac:dyDescent="0.25">
      <c r="A674" t="s">
        <v>703</v>
      </c>
      <c r="B674">
        <v>4.91839920817463E-2</v>
      </c>
      <c r="C674" s="5">
        <f t="shared" si="10"/>
        <v>-2.0132712863859092E-2</v>
      </c>
      <c r="D674">
        <v>1529354602.6006501</v>
      </c>
      <c r="E674">
        <v>94178598.836671695</v>
      </c>
    </row>
    <row r="675" spans="1:5" x14ac:dyDescent="0.25">
      <c r="A675" t="s">
        <v>704</v>
      </c>
      <c r="B675">
        <v>4.7164803313986099E-2</v>
      </c>
      <c r="C675" s="5">
        <f t="shared" si="10"/>
        <v>-4.1053779538761437E-2</v>
      </c>
      <c r="D675">
        <v>1466956383.6728401</v>
      </c>
      <c r="E675">
        <v>87401192.729744494</v>
      </c>
    </row>
    <row r="676" spans="1:5" x14ac:dyDescent="0.25">
      <c r="A676" t="s">
        <v>705</v>
      </c>
      <c r="B676">
        <v>4.94008052815871E-2</v>
      </c>
      <c r="C676" s="5">
        <f t="shared" si="10"/>
        <v>4.7408275037541525E-2</v>
      </c>
      <c r="D676">
        <v>1537475723.9131899</v>
      </c>
      <c r="E676">
        <v>110141050.58360399</v>
      </c>
    </row>
    <row r="677" spans="1:5" x14ac:dyDescent="0.25">
      <c r="A677" t="s">
        <v>706</v>
      </c>
      <c r="B677">
        <v>4.9702450366356697E-2</v>
      </c>
      <c r="C677" s="5">
        <f t="shared" si="10"/>
        <v>6.1060762683968761E-3</v>
      </c>
      <c r="D677">
        <v>1547150136.4877501</v>
      </c>
      <c r="E677">
        <v>79481151.893348098</v>
      </c>
    </row>
    <row r="678" spans="1:5" x14ac:dyDescent="0.25">
      <c r="A678" t="s">
        <v>707</v>
      </c>
      <c r="B678">
        <v>5.0162370014588703E-2</v>
      </c>
      <c r="C678" s="5">
        <f t="shared" si="10"/>
        <v>9.2534602387193132E-3</v>
      </c>
      <c r="D678">
        <v>1562358446.81074</v>
      </c>
      <c r="E678">
        <v>282623830.31708997</v>
      </c>
    </row>
    <row r="679" spans="1:5" x14ac:dyDescent="0.25">
      <c r="A679" t="s">
        <v>708</v>
      </c>
      <c r="B679">
        <v>4.9450925514666101E-2</v>
      </c>
      <c r="C679" s="5">
        <f t="shared" si="10"/>
        <v>-1.4182832663522382E-2</v>
      </c>
      <c r="D679">
        <v>1538261850.5341799</v>
      </c>
      <c r="E679">
        <v>173255575.464093</v>
      </c>
    </row>
    <row r="680" spans="1:5" x14ac:dyDescent="0.25">
      <c r="A680" t="s">
        <v>709</v>
      </c>
      <c r="B680">
        <v>4.9606500374405199E-2</v>
      </c>
      <c r="C680" s="5">
        <f t="shared" si="10"/>
        <v>3.1460454606244692E-3</v>
      </c>
      <c r="D680">
        <v>1541925837.90957</v>
      </c>
      <c r="E680">
        <v>146395207.90987799</v>
      </c>
    </row>
    <row r="681" spans="1:5" x14ac:dyDescent="0.25">
      <c r="A681" t="s">
        <v>710</v>
      </c>
      <c r="B681">
        <v>4.9900655581700898E-2</v>
      </c>
      <c r="C681" s="5">
        <f t="shared" si="10"/>
        <v>5.929771402448436E-3</v>
      </c>
      <c r="D681">
        <v>1552533380.6110001</v>
      </c>
      <c r="E681">
        <v>65378430.0645236</v>
      </c>
    </row>
    <row r="682" spans="1:5" x14ac:dyDescent="0.25">
      <c r="A682" t="s">
        <v>711</v>
      </c>
      <c r="B682">
        <v>4.5968456559108903E-2</v>
      </c>
      <c r="C682" s="5">
        <f t="shared" si="10"/>
        <v>-7.8800548344578725E-2</v>
      </c>
      <c r="D682">
        <v>1429761076.5778</v>
      </c>
      <c r="E682">
        <v>153253060.25626701</v>
      </c>
    </row>
    <row r="683" spans="1:5" x14ac:dyDescent="0.25">
      <c r="A683" t="s">
        <v>712</v>
      </c>
      <c r="B683">
        <v>4.4607531370568901E-2</v>
      </c>
      <c r="C683" s="5">
        <f t="shared" si="10"/>
        <v>-2.9605631565855273E-2</v>
      </c>
      <c r="D683">
        <v>1394409839.7086999</v>
      </c>
      <c r="E683">
        <v>95120388.417427301</v>
      </c>
    </row>
    <row r="684" spans="1:5" x14ac:dyDescent="0.25">
      <c r="A684" t="s">
        <v>713</v>
      </c>
      <c r="B684">
        <v>4.4799462834414799E-2</v>
      </c>
      <c r="C684" s="5">
        <f t="shared" si="10"/>
        <v>4.3026694808878663E-3</v>
      </c>
      <c r="D684">
        <v>1393356581.4706399</v>
      </c>
      <c r="E684">
        <v>115569760.958018</v>
      </c>
    </row>
    <row r="685" spans="1:5" x14ac:dyDescent="0.25">
      <c r="A685" t="s">
        <v>714</v>
      </c>
      <c r="B685">
        <v>4.4880548452087901E-2</v>
      </c>
      <c r="C685" s="5">
        <f t="shared" si="10"/>
        <v>1.809968525131822E-3</v>
      </c>
      <c r="D685">
        <v>1396454704.96807</v>
      </c>
      <c r="E685">
        <v>96161823.441978797</v>
      </c>
    </row>
    <row r="686" spans="1:5" x14ac:dyDescent="0.25">
      <c r="A686" t="s">
        <v>715</v>
      </c>
      <c r="B686">
        <v>4.4494426984988199E-2</v>
      </c>
      <c r="C686" s="5">
        <f t="shared" si="10"/>
        <v>-8.6033143626108588E-3</v>
      </c>
      <c r="D686">
        <v>1385327625.6654601</v>
      </c>
      <c r="E686">
        <v>57516134.361344703</v>
      </c>
    </row>
    <row r="687" spans="1:5" x14ac:dyDescent="0.25">
      <c r="A687" t="s">
        <v>716</v>
      </c>
      <c r="B687">
        <v>4.5354229791424699E-2</v>
      </c>
      <c r="C687" s="5">
        <f t="shared" si="10"/>
        <v>1.9323831425598126E-2</v>
      </c>
      <c r="D687">
        <v>1409467876.7763901</v>
      </c>
      <c r="E687">
        <v>72218997.653440401</v>
      </c>
    </row>
    <row r="688" spans="1:5" x14ac:dyDescent="0.25">
      <c r="A688" t="s">
        <v>717</v>
      </c>
      <c r="B688">
        <v>4.6599078262175603E-2</v>
      </c>
      <c r="C688" s="5">
        <f t="shared" si="10"/>
        <v>2.7447240896289582E-2</v>
      </c>
      <c r="D688">
        <v>1450986674.4294</v>
      </c>
      <c r="E688">
        <v>90249150.323843807</v>
      </c>
    </row>
    <row r="689" spans="1:5" x14ac:dyDescent="0.25">
      <c r="A689" t="s">
        <v>718</v>
      </c>
      <c r="B689">
        <v>4.5420154265292403E-2</v>
      </c>
      <c r="C689" s="5">
        <f t="shared" si="10"/>
        <v>-2.5299298630980238E-2</v>
      </c>
      <c r="D689">
        <v>1413078045.95173</v>
      </c>
      <c r="E689">
        <v>68735197.413033202</v>
      </c>
    </row>
    <row r="690" spans="1:5" x14ac:dyDescent="0.25">
      <c r="A690" t="s">
        <v>719</v>
      </c>
      <c r="B690">
        <v>4.4424659422462598E-2</v>
      </c>
      <c r="C690" s="5">
        <f t="shared" si="10"/>
        <v>-2.1917469434719838E-2</v>
      </c>
      <c r="D690">
        <v>1381978247.8320301</v>
      </c>
      <c r="E690">
        <v>77907028.331454396</v>
      </c>
    </row>
    <row r="691" spans="1:5" x14ac:dyDescent="0.25">
      <c r="A691" t="s">
        <v>720</v>
      </c>
      <c r="B691">
        <v>4.4309504591709598E-2</v>
      </c>
      <c r="C691" s="5">
        <f t="shared" si="10"/>
        <v>-2.5921376156858855E-3</v>
      </c>
      <c r="D691">
        <v>1378821430.8564401</v>
      </c>
      <c r="E691">
        <v>74245105.061822206</v>
      </c>
    </row>
    <row r="692" spans="1:5" x14ac:dyDescent="0.25">
      <c r="A692" t="s">
        <v>721</v>
      </c>
      <c r="B692">
        <v>4.5820841048402797E-2</v>
      </c>
      <c r="C692" s="5">
        <f t="shared" si="10"/>
        <v>3.4108629076750496E-2</v>
      </c>
      <c r="D692">
        <v>1425532107.2667501</v>
      </c>
      <c r="E692">
        <v>67058124.936144702</v>
      </c>
    </row>
    <row r="693" spans="1:5" x14ac:dyDescent="0.25">
      <c r="A693" t="s">
        <v>722</v>
      </c>
      <c r="B693">
        <v>4.6525765442367001E-2</v>
      </c>
      <c r="C693" s="5">
        <f t="shared" si="10"/>
        <v>1.5384361740971908E-2</v>
      </c>
      <c r="D693">
        <v>1447219677.0790801</v>
      </c>
      <c r="E693">
        <v>77249547.099454194</v>
      </c>
    </row>
    <row r="694" spans="1:5" x14ac:dyDescent="0.25">
      <c r="A694" t="s">
        <v>723</v>
      </c>
      <c r="B694">
        <v>4.6812260518715898E-2</v>
      </c>
      <c r="C694" s="5">
        <f t="shared" si="10"/>
        <v>6.1577724433956593E-3</v>
      </c>
      <c r="D694">
        <v>1458941923.4082699</v>
      </c>
      <c r="E694">
        <v>93849643.224452093</v>
      </c>
    </row>
    <row r="695" spans="1:5" x14ac:dyDescent="0.25">
      <c r="A695" t="s">
        <v>724</v>
      </c>
      <c r="B695">
        <v>4.6553438164648402E-2</v>
      </c>
      <c r="C695" s="5">
        <f t="shared" si="10"/>
        <v>-5.5289437254160134E-3</v>
      </c>
      <c r="D695">
        <v>1448065034.1575301</v>
      </c>
      <c r="E695">
        <v>78782522.446526393</v>
      </c>
    </row>
    <row r="696" spans="1:5" x14ac:dyDescent="0.25">
      <c r="A696" t="s">
        <v>725</v>
      </c>
      <c r="B696">
        <v>4.4897601057849797E-2</v>
      </c>
      <c r="C696" s="5">
        <f t="shared" si="10"/>
        <v>-3.5568524518904576E-2</v>
      </c>
      <c r="D696">
        <v>1396305546.5241101</v>
      </c>
      <c r="E696">
        <v>80657521.280190602</v>
      </c>
    </row>
    <row r="697" spans="1:5" x14ac:dyDescent="0.25">
      <c r="A697" t="s">
        <v>726</v>
      </c>
      <c r="B697">
        <v>4.5334945419827202E-2</v>
      </c>
      <c r="C697" s="5">
        <f t="shared" si="10"/>
        <v>9.7409293965149413E-3</v>
      </c>
      <c r="D697">
        <v>1410382172.88272</v>
      </c>
      <c r="E697">
        <v>67160788.189411104</v>
      </c>
    </row>
    <row r="698" spans="1:5" x14ac:dyDescent="0.25">
      <c r="A698" t="s">
        <v>727</v>
      </c>
      <c r="B698">
        <v>4.5757683624777702E-2</v>
      </c>
      <c r="C698" s="5">
        <f t="shared" si="10"/>
        <v>9.3247758662926561E-3</v>
      </c>
      <c r="D698">
        <v>1423985160.8561101</v>
      </c>
      <c r="E698">
        <v>67183583.021132693</v>
      </c>
    </row>
    <row r="699" spans="1:5" x14ac:dyDescent="0.25">
      <c r="A699" t="s">
        <v>728</v>
      </c>
      <c r="B699">
        <v>4.6453262828415401E-2</v>
      </c>
      <c r="C699" s="5">
        <f t="shared" si="10"/>
        <v>1.5201363979470361E-2</v>
      </c>
      <c r="D699">
        <v>1446341381.0265</v>
      </c>
      <c r="E699">
        <v>86110562.969244793</v>
      </c>
    </row>
    <row r="700" spans="1:5" x14ac:dyDescent="0.25">
      <c r="A700" t="s">
        <v>729</v>
      </c>
      <c r="B700">
        <v>4.6636019949772498E-2</v>
      </c>
      <c r="C700" s="5">
        <f t="shared" si="10"/>
        <v>3.9342149556242934E-3</v>
      </c>
      <c r="D700">
        <v>1450964365.2016599</v>
      </c>
      <c r="E700">
        <v>72942355.661577493</v>
      </c>
    </row>
    <row r="701" spans="1:5" x14ac:dyDescent="0.25">
      <c r="A701" t="s">
        <v>730</v>
      </c>
      <c r="B701">
        <v>4.7096484720017998E-2</v>
      </c>
      <c r="C701" s="5">
        <f t="shared" si="10"/>
        <v>9.8735863553842673E-3</v>
      </c>
      <c r="D701">
        <v>1461137776.07567</v>
      </c>
      <c r="E701">
        <v>81224163.154649198</v>
      </c>
    </row>
    <row r="702" spans="1:5" x14ac:dyDescent="0.25">
      <c r="A702" t="s">
        <v>731</v>
      </c>
      <c r="B702">
        <v>4.9003539992522403E-2</v>
      </c>
      <c r="C702" s="5">
        <f t="shared" si="10"/>
        <v>4.04925183661069E-2</v>
      </c>
      <c r="D702">
        <v>1526149911.3615799</v>
      </c>
      <c r="E702">
        <v>126124778.954447</v>
      </c>
    </row>
    <row r="703" spans="1:5" x14ac:dyDescent="0.25">
      <c r="A703" t="s">
        <v>732</v>
      </c>
      <c r="B703">
        <v>5.2793433804776101E-2</v>
      </c>
      <c r="C703" s="5">
        <f t="shared" si="10"/>
        <v>7.7339184328969024E-2</v>
      </c>
      <c r="D703">
        <v>1643522854.9302599</v>
      </c>
      <c r="E703">
        <v>207068652.788845</v>
      </c>
    </row>
    <row r="704" spans="1:5" x14ac:dyDescent="0.25">
      <c r="A704" t="s">
        <v>733</v>
      </c>
      <c r="B704">
        <v>5.2512099826577702E-2</v>
      </c>
      <c r="C704" s="5">
        <f t="shared" si="10"/>
        <v>-5.3289577495325702E-3</v>
      </c>
      <c r="D704">
        <v>1632114826.8229499</v>
      </c>
      <c r="E704">
        <v>182657805.88557699</v>
      </c>
    </row>
    <row r="705" spans="1:5" x14ac:dyDescent="0.25">
      <c r="A705" t="s">
        <v>734</v>
      </c>
      <c r="B705">
        <v>5.1982355101088E-2</v>
      </c>
      <c r="C705" s="5">
        <f t="shared" si="10"/>
        <v>-1.0088050701442031E-2</v>
      </c>
      <c r="D705">
        <v>1615108505.6463001</v>
      </c>
      <c r="E705">
        <v>132064958.879254</v>
      </c>
    </row>
    <row r="706" spans="1:5" x14ac:dyDescent="0.25">
      <c r="A706" t="s">
        <v>735</v>
      </c>
      <c r="B706">
        <v>5.1766192682133699E-2</v>
      </c>
      <c r="C706" s="5">
        <f t="shared" si="10"/>
        <v>-4.1583806376979116E-3</v>
      </c>
      <c r="D706">
        <v>1611102077.63465</v>
      </c>
      <c r="E706">
        <v>106175294.675779</v>
      </c>
    </row>
    <row r="707" spans="1:5" x14ac:dyDescent="0.25">
      <c r="A707" t="s">
        <v>736</v>
      </c>
      <c r="B707">
        <v>4.92240544898477E-2</v>
      </c>
      <c r="C707" s="5">
        <f t="shared" si="10"/>
        <v>-4.9108077310143328E-2</v>
      </c>
      <c r="D707">
        <v>1531930997.0407701</v>
      </c>
      <c r="E707">
        <v>120575342.74432699</v>
      </c>
    </row>
    <row r="708" spans="1:5" x14ac:dyDescent="0.25">
      <c r="A708" t="s">
        <v>737</v>
      </c>
      <c r="B708">
        <v>4.6404579347344398E-2</v>
      </c>
      <c r="C708" s="5">
        <f t="shared" ref="C708:C771" si="11">B708/B707-1</f>
        <v>-5.7278401215097197E-2</v>
      </c>
      <c r="D708">
        <v>1443968465.2254701</v>
      </c>
      <c r="E708">
        <v>98946687.125339493</v>
      </c>
    </row>
    <row r="709" spans="1:5" x14ac:dyDescent="0.25">
      <c r="A709" t="s">
        <v>738</v>
      </c>
      <c r="B709">
        <v>3.8744916044871E-2</v>
      </c>
      <c r="C709" s="5">
        <f t="shared" si="11"/>
        <v>-0.16506265998318415</v>
      </c>
      <c r="D709">
        <v>1225092227.85533</v>
      </c>
      <c r="E709">
        <v>155075819.42614499</v>
      </c>
    </row>
    <row r="710" spans="1:5" x14ac:dyDescent="0.25">
      <c r="A710" t="s">
        <v>739</v>
      </c>
      <c r="B710">
        <v>3.9134452056126402E-2</v>
      </c>
      <c r="C710" s="5">
        <f t="shared" si="11"/>
        <v>1.005386128090402E-2</v>
      </c>
      <c r="D710">
        <v>1217544269.68449</v>
      </c>
      <c r="E710">
        <v>177043303.34179401</v>
      </c>
    </row>
    <row r="711" spans="1:5" x14ac:dyDescent="0.25">
      <c r="A711" t="s">
        <v>740</v>
      </c>
      <c r="B711">
        <v>3.7974121649869297E-2</v>
      </c>
      <c r="C711" s="5">
        <f t="shared" si="11"/>
        <v>-2.9649844198481823E-2</v>
      </c>
      <c r="D711">
        <v>1180556899.2261</v>
      </c>
      <c r="E711">
        <v>144468706.60128</v>
      </c>
    </row>
    <row r="712" spans="1:5" x14ac:dyDescent="0.25">
      <c r="A712" t="s">
        <v>741</v>
      </c>
      <c r="B712">
        <v>3.9139464635006102E-2</v>
      </c>
      <c r="C712" s="5">
        <f t="shared" si="11"/>
        <v>3.0687819349228151E-2</v>
      </c>
      <c r="D712">
        <v>1217734494.8353</v>
      </c>
      <c r="E712">
        <v>114031425.58488099</v>
      </c>
    </row>
    <row r="713" spans="1:5" x14ac:dyDescent="0.25">
      <c r="A713" t="s">
        <v>742</v>
      </c>
      <c r="B713">
        <v>3.8690642111289503E-2</v>
      </c>
      <c r="C713" s="5">
        <f t="shared" si="11"/>
        <v>-1.1467262720685656E-2</v>
      </c>
      <c r="D713">
        <v>1203464965.3278301</v>
      </c>
      <c r="E713">
        <v>58647511.480346903</v>
      </c>
    </row>
    <row r="714" spans="1:5" x14ac:dyDescent="0.25">
      <c r="A714" t="s">
        <v>743</v>
      </c>
      <c r="B714">
        <v>3.7323732128545402E-2</v>
      </c>
      <c r="C714" s="5">
        <f t="shared" si="11"/>
        <v>-3.5329214201520132E-2</v>
      </c>
      <c r="D714">
        <v>1161234042.7807801</v>
      </c>
      <c r="E714">
        <v>63808867.853351101</v>
      </c>
    </row>
    <row r="715" spans="1:5" x14ac:dyDescent="0.25">
      <c r="A715" t="s">
        <v>744</v>
      </c>
      <c r="B715">
        <v>3.8790466317735701E-2</v>
      </c>
      <c r="C715" s="5">
        <f t="shared" si="11"/>
        <v>3.9297629297594616E-2</v>
      </c>
      <c r="D715">
        <v>1206975603.0620999</v>
      </c>
      <c r="E715">
        <v>79110816.016377702</v>
      </c>
    </row>
    <row r="716" spans="1:5" x14ac:dyDescent="0.25">
      <c r="A716" t="s">
        <v>745</v>
      </c>
      <c r="B716">
        <v>3.9347290780581003E-2</v>
      </c>
      <c r="C716" s="5">
        <f t="shared" si="11"/>
        <v>1.4354673086018233E-2</v>
      </c>
      <c r="D716">
        <v>1224266015.2135601</v>
      </c>
      <c r="E716">
        <v>51808391.400560103</v>
      </c>
    </row>
    <row r="717" spans="1:5" x14ac:dyDescent="0.25">
      <c r="A717" t="s">
        <v>746</v>
      </c>
      <c r="B717">
        <v>3.9328026907678497E-2</v>
      </c>
      <c r="C717" s="5">
        <f t="shared" si="11"/>
        <v>-4.8958575089530498E-4</v>
      </c>
      <c r="D717">
        <v>1224952727.2988601</v>
      </c>
      <c r="E717">
        <v>51613487.886753701</v>
      </c>
    </row>
    <row r="718" spans="1:5" x14ac:dyDescent="0.25">
      <c r="A718" t="s">
        <v>747</v>
      </c>
      <c r="B718">
        <v>3.9650599214332401E-2</v>
      </c>
      <c r="C718" s="5">
        <f t="shared" si="11"/>
        <v>8.2020973849294965E-3</v>
      </c>
      <c r="D718">
        <v>1233789841.8282299</v>
      </c>
      <c r="E718">
        <v>65257248.546356998</v>
      </c>
    </row>
    <row r="719" spans="1:5" x14ac:dyDescent="0.25">
      <c r="A719" t="s">
        <v>748</v>
      </c>
      <c r="B719">
        <v>3.9339780377112298E-2</v>
      </c>
      <c r="C719" s="5">
        <f t="shared" si="11"/>
        <v>-7.838944262606562E-3</v>
      </c>
      <c r="D719">
        <v>1224796029.66149</v>
      </c>
      <c r="E719">
        <v>64570276.781437702</v>
      </c>
    </row>
    <row r="720" spans="1:5" x14ac:dyDescent="0.25">
      <c r="A720" t="s">
        <v>749</v>
      </c>
      <c r="B720">
        <v>3.9668590238614403E-2</v>
      </c>
      <c r="C720" s="5">
        <f t="shared" si="11"/>
        <v>8.3582027746500476E-3</v>
      </c>
      <c r="D720">
        <v>1233119018.3519001</v>
      </c>
      <c r="E720">
        <v>54058205.980311804</v>
      </c>
    </row>
    <row r="721" spans="1:5" x14ac:dyDescent="0.25">
      <c r="A721" t="s">
        <v>750</v>
      </c>
      <c r="B721">
        <v>3.8879550399794599E-2</v>
      </c>
      <c r="C721" s="5">
        <f t="shared" si="11"/>
        <v>-1.9890796069978123E-2</v>
      </c>
      <c r="D721">
        <v>1209630555.1816299</v>
      </c>
      <c r="E721">
        <v>54665474.760627598</v>
      </c>
    </row>
    <row r="722" spans="1:5" x14ac:dyDescent="0.25">
      <c r="A722" t="s">
        <v>751</v>
      </c>
      <c r="B722">
        <v>4.1318057854402401E-2</v>
      </c>
      <c r="C722" s="5">
        <f t="shared" si="11"/>
        <v>6.2719538408568809E-2</v>
      </c>
      <c r="D722">
        <v>1287728387.6484699</v>
      </c>
      <c r="E722">
        <v>88147177.891949207</v>
      </c>
    </row>
    <row r="723" spans="1:5" x14ac:dyDescent="0.25">
      <c r="A723" t="s">
        <v>752</v>
      </c>
      <c r="B723">
        <v>4.1191998033769897E-2</v>
      </c>
      <c r="C723" s="5">
        <f t="shared" si="11"/>
        <v>-3.0509619081495742E-3</v>
      </c>
      <c r="D723">
        <v>1281907528.9351299</v>
      </c>
      <c r="E723">
        <v>79990938.5476522</v>
      </c>
    </row>
    <row r="724" spans="1:5" x14ac:dyDescent="0.25">
      <c r="A724" t="s">
        <v>753</v>
      </c>
      <c r="B724">
        <v>4.2480723514636602E-2</v>
      </c>
      <c r="C724" s="5">
        <f t="shared" si="11"/>
        <v>3.128582109103295E-2</v>
      </c>
      <c r="D724">
        <v>1321858528.78918</v>
      </c>
      <c r="E724">
        <v>88561978.415677294</v>
      </c>
    </row>
    <row r="725" spans="1:5" x14ac:dyDescent="0.25">
      <c r="A725" t="s">
        <v>754</v>
      </c>
      <c r="B725">
        <v>4.16249690647452E-2</v>
      </c>
      <c r="C725" s="5">
        <f t="shared" si="11"/>
        <v>-2.0144535664430308E-2</v>
      </c>
      <c r="D725">
        <v>1294889108.2642801</v>
      </c>
      <c r="E725">
        <v>72632590.205513507</v>
      </c>
    </row>
    <row r="726" spans="1:5" x14ac:dyDescent="0.25">
      <c r="A726" t="s">
        <v>755</v>
      </c>
      <c r="B726">
        <v>4.0235605666570001E-2</v>
      </c>
      <c r="C726" s="5">
        <f t="shared" si="11"/>
        <v>-3.3378124462125736E-2</v>
      </c>
      <c r="D726">
        <v>1251090236.22488</v>
      </c>
      <c r="E726">
        <v>67125868.663857594</v>
      </c>
    </row>
    <row r="727" spans="1:5" x14ac:dyDescent="0.25">
      <c r="A727" t="s">
        <v>756</v>
      </c>
      <c r="B727">
        <v>4.0419529938512298E-2</v>
      </c>
      <c r="C727" s="5">
        <f t="shared" si="11"/>
        <v>4.5711818896543299E-3</v>
      </c>
      <c r="D727">
        <v>1257456143.9126501</v>
      </c>
      <c r="E727">
        <v>53975412.405432999</v>
      </c>
    </row>
    <row r="728" spans="1:5" x14ac:dyDescent="0.25">
      <c r="A728" t="s">
        <v>757</v>
      </c>
      <c r="B728">
        <v>4.11902020852975E-2</v>
      </c>
      <c r="C728" s="5">
        <f t="shared" si="11"/>
        <v>1.9066826060510245E-2</v>
      </c>
      <c r="D728">
        <v>1279492204.8284299</v>
      </c>
      <c r="E728">
        <v>53252173.957491599</v>
      </c>
    </row>
    <row r="729" spans="1:5" x14ac:dyDescent="0.25">
      <c r="A729" t="s">
        <v>758</v>
      </c>
      <c r="B729">
        <v>4.1645500694088899E-2</v>
      </c>
      <c r="C729" s="5">
        <f t="shared" si="11"/>
        <v>1.105356579335437E-2</v>
      </c>
      <c r="D729">
        <v>1295121948.5913401</v>
      </c>
      <c r="E729">
        <v>56982292.8164583</v>
      </c>
    </row>
    <row r="730" spans="1:5" x14ac:dyDescent="0.25">
      <c r="A730" t="s">
        <v>759</v>
      </c>
      <c r="B730">
        <v>3.9663940953829802E-2</v>
      </c>
      <c r="C730" s="5">
        <f t="shared" si="11"/>
        <v>-4.7581604428647339E-2</v>
      </c>
      <c r="D730">
        <v>1234126557.1466</v>
      </c>
      <c r="E730">
        <v>66601561.607718296</v>
      </c>
    </row>
    <row r="731" spans="1:5" x14ac:dyDescent="0.25">
      <c r="A731" t="s">
        <v>760</v>
      </c>
      <c r="B731">
        <v>3.8577631663759201E-2</v>
      </c>
      <c r="C731" s="5">
        <f t="shared" si="11"/>
        <v>-2.7387830456260032E-2</v>
      </c>
      <c r="D731">
        <v>1200535132.0961299</v>
      </c>
      <c r="E731">
        <v>68236067.474618405</v>
      </c>
    </row>
    <row r="732" spans="1:5" x14ac:dyDescent="0.25">
      <c r="A732" t="s">
        <v>761</v>
      </c>
      <c r="B732">
        <v>3.9306434109329803E-2</v>
      </c>
      <c r="C732" s="5">
        <f t="shared" si="11"/>
        <v>1.8891840015551109E-2</v>
      </c>
      <c r="D732">
        <v>1222489144.97647</v>
      </c>
      <c r="E732">
        <v>55851967.902620099</v>
      </c>
    </row>
    <row r="733" spans="1:5" x14ac:dyDescent="0.25">
      <c r="A733" t="s">
        <v>762</v>
      </c>
      <c r="B733">
        <v>3.8050611297642797E-2</v>
      </c>
      <c r="C733" s="5">
        <f t="shared" si="11"/>
        <v>-3.1949548213759837E-2</v>
      </c>
      <c r="D733">
        <v>1183634987.95311</v>
      </c>
      <c r="E733">
        <v>62072834.501719102</v>
      </c>
    </row>
    <row r="734" spans="1:5" x14ac:dyDescent="0.25">
      <c r="A734" t="s">
        <v>763</v>
      </c>
      <c r="B734">
        <v>3.8972906062818898E-2</v>
      </c>
      <c r="C734" s="5">
        <f t="shared" si="11"/>
        <v>2.4238632014651484E-2</v>
      </c>
      <c r="D734">
        <v>1211994735.2326</v>
      </c>
      <c r="E734">
        <v>63601159.797879703</v>
      </c>
    </row>
    <row r="735" spans="1:5" x14ac:dyDescent="0.25">
      <c r="A735" t="s">
        <v>764</v>
      </c>
      <c r="B735">
        <v>3.9480393405250801E-2</v>
      </c>
      <c r="C735" s="5">
        <f t="shared" si="11"/>
        <v>1.3021542237930728E-2</v>
      </c>
      <c r="D735">
        <v>1227582031.68697</v>
      </c>
      <c r="E735">
        <v>54084929.653286196</v>
      </c>
    </row>
    <row r="736" spans="1:5" x14ac:dyDescent="0.25">
      <c r="A736" t="s">
        <v>765</v>
      </c>
      <c r="B736">
        <v>3.92077681816436E-2</v>
      </c>
      <c r="C736" s="5">
        <f t="shared" si="11"/>
        <v>-6.9053319912192324E-3</v>
      </c>
      <c r="D736">
        <v>1220723254.82373</v>
      </c>
      <c r="E736">
        <v>51333971.333055802</v>
      </c>
    </row>
    <row r="737" spans="1:5" x14ac:dyDescent="0.25">
      <c r="A737" t="s">
        <v>766</v>
      </c>
      <c r="B737">
        <v>3.8693172114020902E-2</v>
      </c>
      <c r="C737" s="5">
        <f t="shared" si="11"/>
        <v>-1.3124849780754011E-2</v>
      </c>
      <c r="D737">
        <v>1203682405.64345</v>
      </c>
      <c r="E737">
        <v>53449309.587691002</v>
      </c>
    </row>
    <row r="738" spans="1:5" x14ac:dyDescent="0.25">
      <c r="A738" t="s">
        <v>767</v>
      </c>
      <c r="B738">
        <v>3.6379233206876901E-2</v>
      </c>
      <c r="C738" s="5">
        <f t="shared" si="11"/>
        <v>-5.9802254008156641E-2</v>
      </c>
      <c r="D738">
        <v>1131390410.0459199</v>
      </c>
      <c r="E738">
        <v>66873058.625829101</v>
      </c>
    </row>
    <row r="739" spans="1:5" x14ac:dyDescent="0.25">
      <c r="A739" t="s">
        <v>768</v>
      </c>
      <c r="B739">
        <v>3.7348784809811901E-2</v>
      </c>
      <c r="C739" s="5">
        <f t="shared" si="11"/>
        <v>2.6651238013222445E-2</v>
      </c>
      <c r="D739">
        <v>1162070424.26617</v>
      </c>
      <c r="E739">
        <v>61644667.542372897</v>
      </c>
    </row>
    <row r="740" spans="1:5" x14ac:dyDescent="0.25">
      <c r="A740" t="s">
        <v>769</v>
      </c>
      <c r="B740">
        <v>4.1097604308284297E-2</v>
      </c>
      <c r="C740" s="5">
        <f t="shared" si="11"/>
        <v>0.10037326562462989</v>
      </c>
      <c r="D740">
        <v>1277391768.1890099</v>
      </c>
      <c r="E740">
        <v>108314215.156435</v>
      </c>
    </row>
    <row r="741" spans="1:5" x14ac:dyDescent="0.25">
      <c r="A741" t="s">
        <v>770</v>
      </c>
      <c r="B741">
        <v>4.0613505454077298E-2</v>
      </c>
      <c r="C741" s="5">
        <f t="shared" si="11"/>
        <v>-1.1779247534129733E-2</v>
      </c>
      <c r="D741">
        <v>1261609619.2205901</v>
      </c>
      <c r="E741">
        <v>171918663.590307</v>
      </c>
    </row>
    <row r="742" spans="1:5" x14ac:dyDescent="0.25">
      <c r="A742" t="s">
        <v>771</v>
      </c>
      <c r="B742">
        <v>4.2078390183095303E-2</v>
      </c>
      <c r="C742" s="5">
        <f t="shared" si="11"/>
        <v>3.6068906454637117E-2</v>
      </c>
      <c r="D742">
        <v>1309163268.4999499</v>
      </c>
      <c r="E742">
        <v>176984967.04304799</v>
      </c>
    </row>
    <row r="743" spans="1:5" x14ac:dyDescent="0.25">
      <c r="A743" t="s">
        <v>772</v>
      </c>
      <c r="B743">
        <v>4.2246654176383298E-2</v>
      </c>
      <c r="C743" s="5">
        <f t="shared" si="11"/>
        <v>3.998822021370918E-3</v>
      </c>
      <c r="D743">
        <v>1314837992.1281099</v>
      </c>
      <c r="E743">
        <v>147630658.136161</v>
      </c>
    </row>
    <row r="744" spans="1:5" x14ac:dyDescent="0.25">
      <c r="A744" t="s">
        <v>773</v>
      </c>
      <c r="B744">
        <v>4.3310505370601403E-2</v>
      </c>
      <c r="C744" s="5">
        <f t="shared" si="11"/>
        <v>2.5181904104794706E-2</v>
      </c>
      <c r="D744">
        <v>1345885735.8147099</v>
      </c>
      <c r="E744">
        <v>119288193.947651</v>
      </c>
    </row>
    <row r="745" spans="1:5" x14ac:dyDescent="0.25">
      <c r="A745" t="s">
        <v>774</v>
      </c>
      <c r="B745">
        <v>4.1746574591392402E-2</v>
      </c>
      <c r="C745" s="5">
        <f t="shared" si="11"/>
        <v>-3.6109732865656552E-2</v>
      </c>
      <c r="D745">
        <v>1297263669.61602</v>
      </c>
      <c r="E745">
        <v>127353940.02932</v>
      </c>
    </row>
    <row r="746" spans="1:5" x14ac:dyDescent="0.25">
      <c r="A746" t="s">
        <v>775</v>
      </c>
      <c r="B746">
        <v>4.1361454729798103E-2</v>
      </c>
      <c r="C746" s="5">
        <f t="shared" si="11"/>
        <v>-9.2251847094948491E-3</v>
      </c>
      <c r="D746">
        <v>1287621449.0400701</v>
      </c>
      <c r="E746">
        <v>101243655.01168101</v>
      </c>
    </row>
    <row r="747" spans="1:5" x14ac:dyDescent="0.25">
      <c r="A747" t="s">
        <v>776</v>
      </c>
      <c r="B747">
        <v>4.2176822419817399E-2</v>
      </c>
      <c r="C747" s="5">
        <f t="shared" si="11"/>
        <v>1.9713225643194887E-2</v>
      </c>
      <c r="D747">
        <v>1312294401.0141101</v>
      </c>
      <c r="E747">
        <v>93476399.243336007</v>
      </c>
    </row>
    <row r="748" spans="1:5" x14ac:dyDescent="0.25">
      <c r="A748" t="s">
        <v>777</v>
      </c>
      <c r="B748">
        <v>4.2456793164078903E-2</v>
      </c>
      <c r="C748" s="5">
        <f t="shared" si="11"/>
        <v>6.6380236394942838E-3</v>
      </c>
      <c r="D748">
        <v>1321834293.8158801</v>
      </c>
      <c r="E748">
        <v>74317534.502687603</v>
      </c>
    </row>
    <row r="749" spans="1:5" x14ac:dyDescent="0.25">
      <c r="A749" t="s">
        <v>778</v>
      </c>
      <c r="B749">
        <v>4.17689648241664E-2</v>
      </c>
      <c r="C749" s="5">
        <f t="shared" si="11"/>
        <v>-1.6200666339879155E-2</v>
      </c>
      <c r="D749">
        <v>1300808131.15329</v>
      </c>
      <c r="E749">
        <v>59951047.136384398</v>
      </c>
    </row>
    <row r="750" spans="1:5" x14ac:dyDescent="0.25">
      <c r="A750" t="s">
        <v>779</v>
      </c>
      <c r="B750">
        <v>4.3088184594131697E-2</v>
      </c>
      <c r="C750" s="5">
        <f t="shared" si="11"/>
        <v>3.1583731498225465E-2</v>
      </c>
      <c r="D750">
        <v>1338384758.1926401</v>
      </c>
      <c r="E750">
        <v>95175025.710427806</v>
      </c>
    </row>
    <row r="751" spans="1:5" x14ac:dyDescent="0.25">
      <c r="A751" t="s">
        <v>780</v>
      </c>
      <c r="B751">
        <v>4.4165155155295698E-2</v>
      </c>
      <c r="C751" s="5">
        <f t="shared" si="11"/>
        <v>2.4994568030853648E-2</v>
      </c>
      <c r="D751">
        <v>1374362634.9848499</v>
      </c>
      <c r="E751">
        <v>120831629.968547</v>
      </c>
    </row>
    <row r="752" spans="1:5" x14ac:dyDescent="0.25">
      <c r="A752" t="s">
        <v>781</v>
      </c>
      <c r="B752">
        <v>4.4783257163617897E-2</v>
      </c>
      <c r="C752" s="5">
        <f t="shared" si="11"/>
        <v>1.3995241410310832E-2</v>
      </c>
      <c r="D752">
        <v>1392436755.0392499</v>
      </c>
      <c r="E752">
        <v>105252674.813136</v>
      </c>
    </row>
    <row r="753" spans="1:5" x14ac:dyDescent="0.25">
      <c r="A753" t="s">
        <v>782</v>
      </c>
      <c r="B753">
        <v>4.3474331988464697E-2</v>
      </c>
      <c r="C753" s="5">
        <f t="shared" si="11"/>
        <v>-2.9228003009494685E-2</v>
      </c>
      <c r="D753">
        <v>1353314630.3875699</v>
      </c>
      <c r="E753">
        <v>95888074.214408904</v>
      </c>
    </row>
    <row r="754" spans="1:5" x14ac:dyDescent="0.25">
      <c r="A754" t="s">
        <v>783</v>
      </c>
      <c r="B754">
        <v>4.2203306280100501E-2</v>
      </c>
      <c r="C754" s="5">
        <f t="shared" si="11"/>
        <v>-2.9236233203110418E-2</v>
      </c>
      <c r="D754">
        <v>1312721813.9268401</v>
      </c>
      <c r="E754">
        <v>99387230.806994095</v>
      </c>
    </row>
    <row r="755" spans="1:5" x14ac:dyDescent="0.25">
      <c r="A755" t="s">
        <v>784</v>
      </c>
      <c r="B755">
        <v>4.2399051627971203E-2</v>
      </c>
      <c r="C755" s="5">
        <f t="shared" si="11"/>
        <v>4.6381519630607215E-3</v>
      </c>
      <c r="D755">
        <v>1320943987.2525201</v>
      </c>
      <c r="E755">
        <v>57474556.302378498</v>
      </c>
    </row>
    <row r="756" spans="1:5" x14ac:dyDescent="0.25">
      <c r="A756" t="s">
        <v>785</v>
      </c>
      <c r="B756">
        <v>4.3847503613433002E-2</v>
      </c>
      <c r="C756" s="5">
        <f t="shared" si="11"/>
        <v>3.4162367549424921E-2</v>
      </c>
      <c r="D756">
        <v>1364204782.93836</v>
      </c>
      <c r="E756">
        <v>99321302.311124101</v>
      </c>
    </row>
    <row r="757" spans="1:5" x14ac:dyDescent="0.25">
      <c r="A757" t="s">
        <v>786</v>
      </c>
      <c r="B757">
        <v>4.3151620077168197E-2</v>
      </c>
      <c r="C757" s="5">
        <f t="shared" si="11"/>
        <v>-1.5870539458753052E-2</v>
      </c>
      <c r="D757">
        <v>1343614685.1535699</v>
      </c>
      <c r="E757">
        <v>80737912.249698997</v>
      </c>
    </row>
    <row r="758" spans="1:5" x14ac:dyDescent="0.25">
      <c r="A758" t="s">
        <v>787</v>
      </c>
      <c r="B758">
        <v>4.36903214677948E-2</v>
      </c>
      <c r="C758" s="5">
        <f t="shared" si="11"/>
        <v>1.2483920410479188E-2</v>
      </c>
      <c r="D758">
        <v>1359677912.7965901</v>
      </c>
      <c r="E758">
        <v>109855547.837715</v>
      </c>
    </row>
    <row r="759" spans="1:5" x14ac:dyDescent="0.25">
      <c r="A759" t="s">
        <v>788</v>
      </c>
      <c r="B759">
        <v>4.3330448421135197E-2</v>
      </c>
      <c r="C759" s="5">
        <f t="shared" si="11"/>
        <v>-8.2369054419724197E-3</v>
      </c>
      <c r="D759">
        <v>1351369472.6745701</v>
      </c>
      <c r="E759">
        <v>63022983.630022503</v>
      </c>
    </row>
    <row r="760" spans="1:5" x14ac:dyDescent="0.25">
      <c r="A760" t="s">
        <v>789</v>
      </c>
      <c r="B760">
        <v>4.2844845308887602E-2</v>
      </c>
      <c r="C760" s="5">
        <f t="shared" si="11"/>
        <v>-1.1206971770242102E-2</v>
      </c>
      <c r="D760">
        <v>1333978840.8176</v>
      </c>
      <c r="E760">
        <v>80937398.9143821</v>
      </c>
    </row>
    <row r="761" spans="1:5" x14ac:dyDescent="0.25">
      <c r="A761" t="s">
        <v>790</v>
      </c>
      <c r="B761">
        <v>4.3954624142920597E-2</v>
      </c>
      <c r="C761" s="5">
        <f t="shared" si="11"/>
        <v>2.590227193101291E-2</v>
      </c>
      <c r="D761">
        <v>1366759618.5870099</v>
      </c>
      <c r="E761">
        <v>120671544.545139</v>
      </c>
    </row>
    <row r="762" spans="1:5" x14ac:dyDescent="0.25">
      <c r="A762" t="s">
        <v>791</v>
      </c>
      <c r="B762">
        <v>4.39094825141019E-2</v>
      </c>
      <c r="C762" s="5">
        <f t="shared" si="11"/>
        <v>-1.0270052286630582E-3</v>
      </c>
      <c r="D762">
        <v>1366554608.16171</v>
      </c>
      <c r="E762">
        <v>95450582.447844699</v>
      </c>
    </row>
    <row r="763" spans="1:5" x14ac:dyDescent="0.25">
      <c r="A763" t="s">
        <v>792</v>
      </c>
      <c r="B763">
        <v>4.50335330591983E-2</v>
      </c>
      <c r="C763" s="5">
        <f t="shared" si="11"/>
        <v>2.5599266507761786E-2</v>
      </c>
      <c r="D763">
        <v>1400571762.5136299</v>
      </c>
      <c r="E763">
        <v>102350221.221184</v>
      </c>
    </row>
    <row r="764" spans="1:5" x14ac:dyDescent="0.25">
      <c r="A764" t="s">
        <v>793</v>
      </c>
      <c r="B764">
        <v>4.3278682832422498E-2</v>
      </c>
      <c r="C764" s="5">
        <f t="shared" si="11"/>
        <v>-3.8967633840076066E-2</v>
      </c>
      <c r="D764">
        <v>1348449499.9140201</v>
      </c>
      <c r="E764">
        <v>154152294.01402801</v>
      </c>
    </row>
    <row r="765" spans="1:5" x14ac:dyDescent="0.25">
      <c r="A765" t="s">
        <v>794</v>
      </c>
      <c r="B765">
        <v>4.2139784236259803E-2</v>
      </c>
      <c r="C765" s="5">
        <f t="shared" si="11"/>
        <v>-2.6315463448196352E-2</v>
      </c>
      <c r="D765">
        <v>1311073390.0363801</v>
      </c>
      <c r="E765">
        <v>132260800.84795199</v>
      </c>
    </row>
    <row r="766" spans="1:5" x14ac:dyDescent="0.25">
      <c r="A766" t="s">
        <v>795</v>
      </c>
      <c r="B766">
        <v>4.0953342204618298E-2</v>
      </c>
      <c r="C766" s="5">
        <f t="shared" si="11"/>
        <v>-2.8154914723569346E-2</v>
      </c>
      <c r="D766">
        <v>1274627700.6491699</v>
      </c>
      <c r="E766">
        <v>105786730.86312801</v>
      </c>
    </row>
    <row r="767" spans="1:5" x14ac:dyDescent="0.25">
      <c r="A767" t="s">
        <v>796</v>
      </c>
      <c r="B767">
        <v>3.8455432173572501E-2</v>
      </c>
      <c r="C767" s="5">
        <f t="shared" si="11"/>
        <v>-6.0994045823300591E-2</v>
      </c>
      <c r="D767">
        <v>1197293798.08674</v>
      </c>
      <c r="E767">
        <v>96360358.515148997</v>
      </c>
    </row>
    <row r="768" spans="1:5" x14ac:dyDescent="0.25">
      <c r="A768" t="s">
        <v>797</v>
      </c>
      <c r="B768">
        <v>3.7105154256292502E-2</v>
      </c>
      <c r="C768" s="5">
        <f t="shared" si="11"/>
        <v>-3.5112800479926487E-2</v>
      </c>
      <c r="D768">
        <v>1151615885.6601601</v>
      </c>
      <c r="E768">
        <v>133942535.31164099</v>
      </c>
    </row>
    <row r="769" spans="1:5" x14ac:dyDescent="0.25">
      <c r="A769" t="s">
        <v>798</v>
      </c>
      <c r="B769">
        <v>3.79012518118561E-2</v>
      </c>
      <c r="C769" s="5">
        <f t="shared" si="11"/>
        <v>2.1455174396117549E-2</v>
      </c>
      <c r="D769">
        <v>1179646151.1412899</v>
      </c>
      <c r="E769">
        <v>86528192.425312504</v>
      </c>
    </row>
    <row r="770" spans="1:5" x14ac:dyDescent="0.25">
      <c r="A770" t="s">
        <v>799</v>
      </c>
      <c r="B770">
        <v>3.5137305990113499E-2</v>
      </c>
      <c r="C770" s="5">
        <f t="shared" si="11"/>
        <v>-7.2924921727202552E-2</v>
      </c>
      <c r="D770">
        <v>1102455569.1194501</v>
      </c>
      <c r="E770">
        <v>92249163.152544603</v>
      </c>
    </row>
    <row r="771" spans="1:5" x14ac:dyDescent="0.25">
      <c r="A771" t="s">
        <v>800</v>
      </c>
      <c r="B771">
        <v>3.5956369261980203E-2</v>
      </c>
      <c r="C771" s="5">
        <f t="shared" si="11"/>
        <v>2.3310360563702837E-2</v>
      </c>
      <c r="D771">
        <v>1119197323.37115</v>
      </c>
      <c r="E771">
        <v>135896470.90505901</v>
      </c>
    </row>
    <row r="772" spans="1:5" x14ac:dyDescent="0.25">
      <c r="A772" t="s">
        <v>801</v>
      </c>
      <c r="B772">
        <v>3.6674557062445497E-2</v>
      </c>
      <c r="C772" s="5">
        <f t="shared" ref="C772:C835" si="12">B772/B771-1</f>
        <v>1.9973868752780177E-2</v>
      </c>
      <c r="D772">
        <v>1142672382.61408</v>
      </c>
      <c r="E772">
        <v>83659522.722282395</v>
      </c>
    </row>
    <row r="773" spans="1:5" x14ac:dyDescent="0.25">
      <c r="A773" t="s">
        <v>802</v>
      </c>
      <c r="B773">
        <v>3.8830680754972799E-2</v>
      </c>
      <c r="C773" s="5">
        <f t="shared" si="12"/>
        <v>5.8790722103503112E-2</v>
      </c>
      <c r="D773">
        <v>1208912256.7966001</v>
      </c>
      <c r="E773">
        <v>110213197.064844</v>
      </c>
    </row>
    <row r="774" spans="1:5" x14ac:dyDescent="0.25">
      <c r="A774" t="s">
        <v>803</v>
      </c>
      <c r="B774">
        <v>3.9083870741813499E-2</v>
      </c>
      <c r="C774" s="5">
        <f t="shared" si="12"/>
        <v>6.5203592086979789E-3</v>
      </c>
      <c r="D774">
        <v>1216816037.1991799</v>
      </c>
      <c r="E774">
        <v>89245636.953391805</v>
      </c>
    </row>
    <row r="775" spans="1:5" x14ac:dyDescent="0.25">
      <c r="A775" t="s">
        <v>804</v>
      </c>
      <c r="B775">
        <v>4.1182255001463497E-2</v>
      </c>
      <c r="C775" s="5">
        <f t="shared" si="12"/>
        <v>5.3689264134349379E-2</v>
      </c>
      <c r="D775">
        <v>1281816022.0401399</v>
      </c>
      <c r="E775">
        <v>142009998.77089101</v>
      </c>
    </row>
    <row r="776" spans="1:5" x14ac:dyDescent="0.25">
      <c r="A776" t="s">
        <v>805</v>
      </c>
      <c r="B776">
        <v>4.0382584144701299E-2</v>
      </c>
      <c r="C776" s="5">
        <f t="shared" si="12"/>
        <v>-1.9417850157398608E-2</v>
      </c>
      <c r="D776">
        <v>1258035023.28549</v>
      </c>
      <c r="E776">
        <v>90495504.318969995</v>
      </c>
    </row>
    <row r="777" spans="1:5" x14ac:dyDescent="0.25">
      <c r="A777" t="s">
        <v>806</v>
      </c>
      <c r="B777">
        <v>3.9525782079544103E-2</v>
      </c>
      <c r="C777" s="5">
        <f t="shared" si="12"/>
        <v>-2.1217118302460536E-2</v>
      </c>
      <c r="D777">
        <v>1229284598.29445</v>
      </c>
      <c r="E777">
        <v>93450137.087654799</v>
      </c>
    </row>
    <row r="778" spans="1:5" x14ac:dyDescent="0.25">
      <c r="A778" t="s">
        <v>807</v>
      </c>
      <c r="B778">
        <v>3.8062279483068E-2</v>
      </c>
      <c r="C778" s="5">
        <f t="shared" si="12"/>
        <v>-3.7026531025518006E-2</v>
      </c>
      <c r="D778">
        <v>1185865205.67766</v>
      </c>
      <c r="E778">
        <v>70629290.057657093</v>
      </c>
    </row>
    <row r="779" spans="1:5" x14ac:dyDescent="0.25">
      <c r="A779" t="s">
        <v>808</v>
      </c>
      <c r="B779">
        <v>3.7745739603044198E-2</v>
      </c>
      <c r="C779" s="5">
        <f t="shared" si="12"/>
        <v>-8.3163668682695313E-3</v>
      </c>
      <c r="D779">
        <v>1177633030.0400901</v>
      </c>
      <c r="E779">
        <v>56477631.449007399</v>
      </c>
    </row>
    <row r="780" spans="1:5" x14ac:dyDescent="0.25">
      <c r="A780" t="s">
        <v>809</v>
      </c>
      <c r="B780">
        <v>3.7181515915395903E-2</v>
      </c>
      <c r="C780" s="5">
        <f t="shared" si="12"/>
        <v>-1.4948009857059241E-2</v>
      </c>
      <c r="D780">
        <v>1159306728.9507301</v>
      </c>
      <c r="E780">
        <v>80033474.853426397</v>
      </c>
    </row>
    <row r="781" spans="1:5" x14ac:dyDescent="0.25">
      <c r="A781" t="s">
        <v>810</v>
      </c>
      <c r="B781">
        <v>3.7522206612805399E-2</v>
      </c>
      <c r="C781" s="5">
        <f t="shared" si="12"/>
        <v>9.1629049817312236E-3</v>
      </c>
      <c r="D781">
        <v>1169299358.0671699</v>
      </c>
      <c r="E781">
        <v>65163354.214957602</v>
      </c>
    </row>
    <row r="782" spans="1:5" x14ac:dyDescent="0.25">
      <c r="A782" t="s">
        <v>811</v>
      </c>
      <c r="B782">
        <v>3.8151897614849099E-2</v>
      </c>
      <c r="C782" s="5">
        <f t="shared" si="12"/>
        <v>1.6781822256391576E-2</v>
      </c>
      <c r="D782">
        <v>1184323443.68507</v>
      </c>
      <c r="E782">
        <v>59281438.506246798</v>
      </c>
    </row>
    <row r="783" spans="1:5" x14ac:dyDescent="0.25">
      <c r="A783" t="s">
        <v>812</v>
      </c>
      <c r="B783">
        <v>3.8430966043893303E-2</v>
      </c>
      <c r="C783" s="5">
        <f t="shared" si="12"/>
        <v>7.3146670674537617E-3</v>
      </c>
      <c r="D783">
        <v>1193746417.3899701</v>
      </c>
      <c r="E783">
        <v>62606285.818379797</v>
      </c>
    </row>
    <row r="784" spans="1:5" x14ac:dyDescent="0.25">
      <c r="A784" t="s">
        <v>813</v>
      </c>
      <c r="B784">
        <v>3.8668513328333702E-2</v>
      </c>
      <c r="C784" s="5">
        <f t="shared" si="12"/>
        <v>6.1811426798141778E-3</v>
      </c>
      <c r="D784">
        <v>1196679735.3589399</v>
      </c>
      <c r="E784">
        <v>54771316.746112302</v>
      </c>
    </row>
    <row r="785" spans="1:5" x14ac:dyDescent="0.25">
      <c r="A785" t="s">
        <v>814</v>
      </c>
      <c r="B785">
        <v>3.7371450640102798E-2</v>
      </c>
      <c r="C785" s="5">
        <f t="shared" si="12"/>
        <v>-3.3543122726688912E-2</v>
      </c>
      <c r="D785">
        <v>1160997271.1338401</v>
      </c>
      <c r="E785">
        <v>65088912.021514602</v>
      </c>
    </row>
    <row r="786" spans="1:5" x14ac:dyDescent="0.25">
      <c r="A786" t="s">
        <v>815</v>
      </c>
      <c r="B786">
        <v>3.6405275770391099E-2</v>
      </c>
      <c r="C786" s="5">
        <f t="shared" si="12"/>
        <v>-2.5853287821664295E-2</v>
      </c>
      <c r="D786">
        <v>1133385166.2044799</v>
      </c>
      <c r="E786">
        <v>65396271.632502303</v>
      </c>
    </row>
    <row r="787" spans="1:5" x14ac:dyDescent="0.25">
      <c r="A787" t="s">
        <v>816</v>
      </c>
      <c r="B787">
        <v>3.6541267323272598E-2</v>
      </c>
      <c r="C787" s="5">
        <f t="shared" si="12"/>
        <v>3.7354902552915181E-3</v>
      </c>
      <c r="D787">
        <v>1137775736.0882499</v>
      </c>
      <c r="E787">
        <v>134160553.15405101</v>
      </c>
    </row>
    <row r="788" spans="1:5" x14ac:dyDescent="0.25">
      <c r="A788" t="s">
        <v>817</v>
      </c>
      <c r="B788">
        <v>3.6442461474048497E-2</v>
      </c>
      <c r="C788" s="5">
        <f t="shared" si="12"/>
        <v>-2.7039524477897592E-3</v>
      </c>
      <c r="D788">
        <v>1137756552.5843699</v>
      </c>
      <c r="E788">
        <v>89954575.040165305</v>
      </c>
    </row>
    <row r="789" spans="1:5" x14ac:dyDescent="0.25">
      <c r="A789" t="s">
        <v>818</v>
      </c>
      <c r="B789">
        <v>3.6982083198913197E-2</v>
      </c>
      <c r="C789" s="5">
        <f t="shared" si="12"/>
        <v>1.4807499357555098E-2</v>
      </c>
      <c r="D789">
        <v>1158210725.3678899</v>
      </c>
      <c r="E789">
        <v>74714396.956284106</v>
      </c>
    </row>
    <row r="790" spans="1:5" x14ac:dyDescent="0.25">
      <c r="A790" t="s">
        <v>819</v>
      </c>
      <c r="B790">
        <v>3.6299305495312198E-2</v>
      </c>
      <c r="C790" s="5">
        <f t="shared" si="12"/>
        <v>-1.8462391637825926E-2</v>
      </c>
      <c r="D790">
        <v>1128679862.5901999</v>
      </c>
      <c r="E790">
        <v>72674288.8821861</v>
      </c>
    </row>
    <row r="791" spans="1:5" x14ac:dyDescent="0.25">
      <c r="A791" t="s">
        <v>820</v>
      </c>
      <c r="B791">
        <v>3.6394167594745702E-2</v>
      </c>
      <c r="C791" s="5">
        <f t="shared" si="12"/>
        <v>2.6133309753200162E-3</v>
      </c>
      <c r="D791">
        <v>1132795997.2184801</v>
      </c>
      <c r="E791">
        <v>50056573.4626256</v>
      </c>
    </row>
    <row r="792" spans="1:5" x14ac:dyDescent="0.25">
      <c r="A792" t="s">
        <v>821</v>
      </c>
      <c r="B792">
        <v>3.4151957267004797E-2</v>
      </c>
      <c r="C792" s="5">
        <f t="shared" si="12"/>
        <v>-6.1609056503455162E-2</v>
      </c>
      <c r="D792">
        <v>1062011785.5577101</v>
      </c>
      <c r="E792">
        <v>74025717.559705704</v>
      </c>
    </row>
    <row r="793" spans="1:5" x14ac:dyDescent="0.25">
      <c r="A793" t="s">
        <v>822</v>
      </c>
      <c r="B793">
        <v>3.1781751569716299E-2</v>
      </c>
      <c r="C793" s="5">
        <f t="shared" si="12"/>
        <v>-6.9401752841217745E-2</v>
      </c>
      <c r="D793">
        <v>989191308.360569</v>
      </c>
      <c r="E793">
        <v>97334710.799523294</v>
      </c>
    </row>
    <row r="794" spans="1:5" x14ac:dyDescent="0.25">
      <c r="A794" t="s">
        <v>823</v>
      </c>
      <c r="B794">
        <v>3.4291358200694302E-2</v>
      </c>
      <c r="C794" s="5">
        <f t="shared" si="12"/>
        <v>7.8963760869911193E-2</v>
      </c>
      <c r="D794">
        <v>1068083106.44125</v>
      </c>
      <c r="E794">
        <v>109069993.087718</v>
      </c>
    </row>
    <row r="795" spans="1:5" x14ac:dyDescent="0.25">
      <c r="A795" t="s">
        <v>824</v>
      </c>
      <c r="B795">
        <v>3.2983787593688599E-2</v>
      </c>
      <c r="C795" s="5">
        <f t="shared" si="12"/>
        <v>-3.8131199101330115E-2</v>
      </c>
      <c r="D795">
        <v>1026352153.1014</v>
      </c>
      <c r="E795">
        <v>81170389.831556603</v>
      </c>
    </row>
    <row r="796" spans="1:5" x14ac:dyDescent="0.25">
      <c r="A796" t="s">
        <v>825</v>
      </c>
      <c r="B796">
        <v>3.3893000954121802E-2</v>
      </c>
      <c r="C796" s="5">
        <f t="shared" si="12"/>
        <v>2.7565462512473271E-2</v>
      </c>
      <c r="D796">
        <v>1048367592.16278</v>
      </c>
      <c r="E796">
        <v>61402668.2039527</v>
      </c>
    </row>
    <row r="797" spans="1:5" x14ac:dyDescent="0.25">
      <c r="A797" t="s">
        <v>826</v>
      </c>
      <c r="B797">
        <v>3.3048290893006697E-2</v>
      </c>
      <c r="C797" s="5">
        <f t="shared" si="12"/>
        <v>-2.4922846526883813E-2</v>
      </c>
      <c r="D797">
        <v>1030544030.74303</v>
      </c>
      <c r="E797">
        <v>55938360.370472804</v>
      </c>
    </row>
    <row r="798" spans="1:5" x14ac:dyDescent="0.25">
      <c r="A798" t="s">
        <v>827</v>
      </c>
      <c r="B798">
        <v>3.4285074571727997E-2</v>
      </c>
      <c r="C798" s="5">
        <f t="shared" si="12"/>
        <v>3.7423529184167803E-2</v>
      </c>
      <c r="D798">
        <v>1061298045.9856</v>
      </c>
      <c r="E798">
        <v>64409137.014665298</v>
      </c>
    </row>
    <row r="799" spans="1:5" x14ac:dyDescent="0.25">
      <c r="A799" t="s">
        <v>828</v>
      </c>
      <c r="B799">
        <v>3.3123126636812099E-2</v>
      </c>
      <c r="C799" s="5">
        <f t="shared" si="12"/>
        <v>-3.3890780446896196E-2</v>
      </c>
      <c r="D799">
        <v>1033228239.66442</v>
      </c>
      <c r="E799">
        <v>85193638.782882899</v>
      </c>
    </row>
    <row r="800" spans="1:5" x14ac:dyDescent="0.25">
      <c r="A800" t="s">
        <v>829</v>
      </c>
      <c r="B800">
        <v>3.38402256039581E-2</v>
      </c>
      <c r="C800" s="5">
        <f t="shared" si="12"/>
        <v>2.1649495079641312E-2</v>
      </c>
      <c r="D800">
        <v>1054407495.2988</v>
      </c>
      <c r="E800">
        <v>68580414.834048599</v>
      </c>
    </row>
    <row r="801" spans="1:5" x14ac:dyDescent="0.25">
      <c r="A801" t="s">
        <v>830</v>
      </c>
      <c r="B801">
        <v>3.3355781449359502E-2</v>
      </c>
      <c r="C801" s="5">
        <f t="shared" si="12"/>
        <v>-1.4315630169496774E-2</v>
      </c>
      <c r="D801">
        <v>1037802115.73124</v>
      </c>
      <c r="E801">
        <v>54385023.571739003</v>
      </c>
    </row>
    <row r="802" spans="1:5" x14ac:dyDescent="0.25">
      <c r="A802" t="s">
        <v>831</v>
      </c>
      <c r="B802">
        <v>3.4110891255852399E-2</v>
      </c>
      <c r="C802" s="5">
        <f t="shared" si="12"/>
        <v>2.2638048748439665E-2</v>
      </c>
      <c r="D802">
        <v>1060171042.16672</v>
      </c>
      <c r="E802">
        <v>73690494.159241498</v>
      </c>
    </row>
    <row r="803" spans="1:5" x14ac:dyDescent="0.25">
      <c r="A803" t="s">
        <v>832</v>
      </c>
      <c r="B803">
        <v>3.2982446135028098E-2</v>
      </c>
      <c r="C803" s="5">
        <f t="shared" si="12"/>
        <v>-3.3081666273691801E-2</v>
      </c>
      <c r="D803">
        <v>1026165848.96358</v>
      </c>
      <c r="E803">
        <v>99254284.490690097</v>
      </c>
    </row>
    <row r="804" spans="1:5" x14ac:dyDescent="0.25">
      <c r="A804" t="s">
        <v>833</v>
      </c>
      <c r="B804">
        <v>3.3669220357614701E-2</v>
      </c>
      <c r="C804" s="5">
        <f t="shared" si="12"/>
        <v>2.0822416256665477E-2</v>
      </c>
      <c r="D804">
        <v>1046323615.48657</v>
      </c>
      <c r="E804">
        <v>63704963.157041296</v>
      </c>
    </row>
    <row r="805" spans="1:5" x14ac:dyDescent="0.25">
      <c r="A805" t="s">
        <v>834</v>
      </c>
      <c r="B805">
        <v>3.4117350802174998E-2</v>
      </c>
      <c r="C805" s="5">
        <f t="shared" si="12"/>
        <v>1.3309795706598404E-2</v>
      </c>
      <c r="D805">
        <v>1062748397.8376499</v>
      </c>
      <c r="E805">
        <v>72542965.985713795</v>
      </c>
    </row>
    <row r="806" spans="1:5" x14ac:dyDescent="0.25">
      <c r="A806" t="s">
        <v>835</v>
      </c>
      <c r="B806">
        <v>3.3403846673479599E-2</v>
      </c>
      <c r="C806" s="5">
        <f t="shared" si="12"/>
        <v>-2.0913233645618035E-2</v>
      </c>
      <c r="D806">
        <v>1038340931.74603</v>
      </c>
      <c r="E806">
        <v>65112671.409086801</v>
      </c>
    </row>
    <row r="807" spans="1:5" x14ac:dyDescent="0.25">
      <c r="A807" t="s">
        <v>836</v>
      </c>
      <c r="B807">
        <v>3.2911928955214401E-2</v>
      </c>
      <c r="C807" s="5">
        <f t="shared" si="12"/>
        <v>-1.4726379362043573E-2</v>
      </c>
      <c r="D807">
        <v>1020670721.31321</v>
      </c>
      <c r="E807">
        <v>78089757.052188203</v>
      </c>
    </row>
    <row r="808" spans="1:5" x14ac:dyDescent="0.25">
      <c r="A808" t="s">
        <v>837</v>
      </c>
      <c r="B808">
        <v>3.3361998173632799E-2</v>
      </c>
      <c r="C808" s="5">
        <f t="shared" si="12"/>
        <v>1.3674957157049139E-2</v>
      </c>
      <c r="D808">
        <v>1038897513.32542</v>
      </c>
      <c r="E808">
        <v>74867841.215354994</v>
      </c>
    </row>
    <row r="809" spans="1:5" x14ac:dyDescent="0.25">
      <c r="A809" t="s">
        <v>838</v>
      </c>
      <c r="B809">
        <v>3.2617854913203299E-2</v>
      </c>
      <c r="C809" s="5">
        <f t="shared" si="12"/>
        <v>-2.230511663469914E-2</v>
      </c>
      <c r="D809">
        <v>1015100628.60695</v>
      </c>
      <c r="E809">
        <v>63835282.138862804</v>
      </c>
    </row>
    <row r="810" spans="1:5" x14ac:dyDescent="0.25">
      <c r="A810" t="s">
        <v>839</v>
      </c>
      <c r="B810">
        <v>3.396737105303E-2</v>
      </c>
      <c r="C810" s="5">
        <f t="shared" si="12"/>
        <v>4.1373540455612146E-2</v>
      </c>
      <c r="D810">
        <v>1060794465.03769</v>
      </c>
      <c r="E810">
        <v>79167959.066496998</v>
      </c>
    </row>
    <row r="811" spans="1:5" x14ac:dyDescent="0.25">
      <c r="A811" t="s">
        <v>840</v>
      </c>
      <c r="B811">
        <v>3.4298310550592098E-2</v>
      </c>
      <c r="C811" s="5">
        <f t="shared" si="12"/>
        <v>9.7428646169124278E-3</v>
      </c>
      <c r="D811">
        <v>1067105660.38903</v>
      </c>
      <c r="E811">
        <v>77918143.483638704</v>
      </c>
    </row>
    <row r="812" spans="1:5" x14ac:dyDescent="0.25">
      <c r="A812" t="s">
        <v>841</v>
      </c>
      <c r="B812">
        <v>3.4426974000458799E-2</v>
      </c>
      <c r="C812" s="5">
        <f t="shared" si="12"/>
        <v>3.751305758250556E-3</v>
      </c>
      <c r="D812">
        <v>1069729851.74743</v>
      </c>
      <c r="E812">
        <v>48833556.383981802</v>
      </c>
    </row>
    <row r="813" spans="1:5" x14ac:dyDescent="0.25">
      <c r="A813" t="s">
        <v>842</v>
      </c>
      <c r="B813">
        <v>3.6998615370016003E-2</v>
      </c>
      <c r="C813" s="5">
        <f t="shared" si="12"/>
        <v>7.4698443421804539E-2</v>
      </c>
      <c r="D813">
        <v>1150811966.6402299</v>
      </c>
      <c r="E813">
        <v>77690490.906394094</v>
      </c>
    </row>
    <row r="814" spans="1:5" x14ac:dyDescent="0.25">
      <c r="A814" t="s">
        <v>843</v>
      </c>
      <c r="B814">
        <v>3.7000314914681802E-2</v>
      </c>
      <c r="C814" s="5">
        <f t="shared" si="12"/>
        <v>4.5935358629067835E-5</v>
      </c>
      <c r="D814">
        <v>1151791408.0212801</v>
      </c>
      <c r="E814">
        <v>109080768.022231</v>
      </c>
    </row>
    <row r="815" spans="1:5" x14ac:dyDescent="0.25">
      <c r="A815" t="s">
        <v>844</v>
      </c>
      <c r="B815">
        <v>3.62252550448545E-2</v>
      </c>
      <c r="C815" s="5">
        <f t="shared" si="12"/>
        <v>-2.09473857618373E-2</v>
      </c>
      <c r="D815">
        <v>1130075028.10237</v>
      </c>
      <c r="E815">
        <v>97790326.6835576</v>
      </c>
    </row>
    <row r="816" spans="1:5" x14ac:dyDescent="0.25">
      <c r="A816" t="s">
        <v>845</v>
      </c>
      <c r="B816">
        <v>3.6068133633127802E-2</v>
      </c>
      <c r="C816" s="5">
        <f t="shared" si="12"/>
        <v>-4.3373445275167732E-3</v>
      </c>
      <c r="D816">
        <v>1120025309.4730899</v>
      </c>
      <c r="E816">
        <v>73078880.793865994</v>
      </c>
    </row>
    <row r="817" spans="1:5" x14ac:dyDescent="0.25">
      <c r="A817" t="s">
        <v>846</v>
      </c>
      <c r="B817">
        <v>3.7044618388276898E-2</v>
      </c>
      <c r="C817" s="5">
        <f t="shared" si="12"/>
        <v>2.7073337508437545E-2</v>
      </c>
      <c r="D817">
        <v>1142315528.2269299</v>
      </c>
      <c r="E817">
        <v>89615189.154755503</v>
      </c>
    </row>
    <row r="818" spans="1:5" x14ac:dyDescent="0.25">
      <c r="A818" t="s">
        <v>847</v>
      </c>
      <c r="B818">
        <v>3.6442304267341401E-2</v>
      </c>
      <c r="C818" s="5">
        <f t="shared" si="12"/>
        <v>-1.6259153073799881E-2</v>
      </c>
      <c r="D818">
        <v>1140005583.9457099</v>
      </c>
      <c r="E818">
        <v>103012026.667872</v>
      </c>
    </row>
    <row r="819" spans="1:5" x14ac:dyDescent="0.25">
      <c r="A819" t="s">
        <v>848</v>
      </c>
      <c r="B819">
        <v>3.7372044999991999E-2</v>
      </c>
      <c r="C819" s="5">
        <f t="shared" si="12"/>
        <v>2.551267685572256E-2</v>
      </c>
      <c r="D819">
        <v>1163393929.4204099</v>
      </c>
      <c r="E819">
        <v>94947456.455991507</v>
      </c>
    </row>
    <row r="820" spans="1:5" x14ac:dyDescent="0.25">
      <c r="A820" t="s">
        <v>849</v>
      </c>
      <c r="B820">
        <v>3.6943141768001599E-2</v>
      </c>
      <c r="C820" s="5">
        <f t="shared" si="12"/>
        <v>-1.147657913797584E-2</v>
      </c>
      <c r="D820">
        <v>1149509789.46229</v>
      </c>
      <c r="E820">
        <v>92974481.837419003</v>
      </c>
    </row>
    <row r="821" spans="1:5" x14ac:dyDescent="0.25">
      <c r="A821" t="s">
        <v>850</v>
      </c>
      <c r="B821">
        <v>4.1285848339424301E-2</v>
      </c>
      <c r="C821" s="5">
        <f t="shared" si="12"/>
        <v>0.11755108969059447</v>
      </c>
      <c r="D821">
        <v>1277612922.8592801</v>
      </c>
      <c r="E821">
        <v>211070204.09448799</v>
      </c>
    </row>
    <row r="822" spans="1:5" x14ac:dyDescent="0.25">
      <c r="A822" t="s">
        <v>851</v>
      </c>
      <c r="B822">
        <v>4.2411480438429502E-2</v>
      </c>
      <c r="C822" s="5">
        <f t="shared" si="12"/>
        <v>2.7264356777920939E-2</v>
      </c>
      <c r="D822">
        <v>1312253076.5911601</v>
      </c>
      <c r="E822">
        <v>199275282.88421401</v>
      </c>
    </row>
    <row r="823" spans="1:5" x14ac:dyDescent="0.25">
      <c r="A823" t="s">
        <v>852</v>
      </c>
      <c r="B823">
        <v>4.14947727094261E-2</v>
      </c>
      <c r="C823" s="5">
        <f t="shared" si="12"/>
        <v>-2.1614612824804036E-2</v>
      </c>
      <c r="D823">
        <v>1286089923.7849801</v>
      </c>
      <c r="E823">
        <v>137032057.20058399</v>
      </c>
    </row>
    <row r="824" spans="1:5" x14ac:dyDescent="0.25">
      <c r="A824" t="s">
        <v>853</v>
      </c>
      <c r="B824">
        <v>4.4350181824950798E-2</v>
      </c>
      <c r="C824" s="5">
        <f t="shared" si="12"/>
        <v>6.8813706620835413E-2</v>
      </c>
      <c r="D824">
        <v>1387851754.2258501</v>
      </c>
      <c r="E824">
        <v>170585164.39829299</v>
      </c>
    </row>
    <row r="825" spans="1:5" x14ac:dyDescent="0.25">
      <c r="A825" t="s">
        <v>854</v>
      </c>
      <c r="B825">
        <v>4.4812672747495202E-2</v>
      </c>
      <c r="C825" s="5">
        <f t="shared" si="12"/>
        <v>1.0428162941244379E-2</v>
      </c>
      <c r="D825">
        <v>1398527687.6359601</v>
      </c>
      <c r="E825">
        <v>156488786.07864401</v>
      </c>
    </row>
    <row r="826" spans="1:5" x14ac:dyDescent="0.25">
      <c r="A826" t="s">
        <v>855</v>
      </c>
      <c r="B826">
        <v>4.24657528723347E-2</v>
      </c>
      <c r="C826" s="5">
        <f t="shared" si="12"/>
        <v>-5.2371789747615138E-2</v>
      </c>
      <c r="D826">
        <v>1324878584.1799901</v>
      </c>
      <c r="E826">
        <v>140637820.37935901</v>
      </c>
    </row>
    <row r="827" spans="1:5" x14ac:dyDescent="0.25">
      <c r="A827" t="s">
        <v>856</v>
      </c>
      <c r="B827">
        <v>4.3205338228727803E-2</v>
      </c>
      <c r="C827" s="5">
        <f t="shared" si="12"/>
        <v>1.7416042489968975E-2</v>
      </c>
      <c r="D827">
        <v>1347506112.43171</v>
      </c>
      <c r="E827">
        <v>122312691.01675899</v>
      </c>
    </row>
    <row r="828" spans="1:5" x14ac:dyDescent="0.25">
      <c r="A828" t="s">
        <v>857</v>
      </c>
      <c r="B828">
        <v>4.5644289991043099E-2</v>
      </c>
      <c r="C828" s="5">
        <f t="shared" si="12"/>
        <v>5.6450241157783632E-2</v>
      </c>
      <c r="D828">
        <v>1415740558.2395999</v>
      </c>
      <c r="E828">
        <v>144630468.91554999</v>
      </c>
    </row>
    <row r="829" spans="1:5" x14ac:dyDescent="0.25">
      <c r="A829" t="s">
        <v>858</v>
      </c>
      <c r="B829">
        <v>4.5344968823827998E-2</v>
      </c>
      <c r="C829" s="5">
        <f t="shared" si="12"/>
        <v>-6.5576913842637641E-3</v>
      </c>
      <c r="D829">
        <v>1410211923.8868101</v>
      </c>
      <c r="E829">
        <v>106449100.50429501</v>
      </c>
    </row>
    <row r="830" spans="1:5" x14ac:dyDescent="0.25">
      <c r="A830" t="s">
        <v>859</v>
      </c>
      <c r="B830">
        <v>4.3384298751864898E-2</v>
      </c>
      <c r="C830" s="5">
        <f t="shared" si="12"/>
        <v>-4.3238977174746673E-2</v>
      </c>
      <c r="D830">
        <v>1348529123.63921</v>
      </c>
      <c r="E830">
        <v>110069027.124532</v>
      </c>
    </row>
    <row r="831" spans="1:5" x14ac:dyDescent="0.25">
      <c r="A831" t="s">
        <v>860</v>
      </c>
      <c r="B831">
        <v>4.4452906614897099E-2</v>
      </c>
      <c r="C831" s="5">
        <f t="shared" si="12"/>
        <v>2.4631212069234243E-2</v>
      </c>
      <c r="D831">
        <v>1382573985.2793701</v>
      </c>
      <c r="E831">
        <v>114891800.487683</v>
      </c>
    </row>
    <row r="832" spans="1:5" x14ac:dyDescent="0.25">
      <c r="A832" t="s">
        <v>861</v>
      </c>
      <c r="B832">
        <v>4.3543120003623197E-2</v>
      </c>
      <c r="C832" s="5">
        <f t="shared" si="12"/>
        <v>-2.0466301993602665E-2</v>
      </c>
      <c r="D832">
        <v>1359196362.9106901</v>
      </c>
      <c r="E832">
        <v>88735590.607461393</v>
      </c>
    </row>
    <row r="833" spans="1:5" x14ac:dyDescent="0.25">
      <c r="A833" t="s">
        <v>862</v>
      </c>
      <c r="B833">
        <v>4.4372587590869199E-2</v>
      </c>
      <c r="C833" s="5">
        <f t="shared" si="12"/>
        <v>1.9049337465413263E-2</v>
      </c>
      <c r="D833">
        <v>1381689961.2846999</v>
      </c>
      <c r="E833">
        <v>98582263.156216696</v>
      </c>
    </row>
    <row r="834" spans="1:5" x14ac:dyDescent="0.25">
      <c r="A834" t="s">
        <v>863</v>
      </c>
      <c r="B834">
        <v>4.7306343705102699E-2</v>
      </c>
      <c r="C834" s="5">
        <f t="shared" si="12"/>
        <v>6.6116408204176746E-2</v>
      </c>
      <c r="D834">
        <v>1467722927.7962999</v>
      </c>
      <c r="E834">
        <v>140901190.79711699</v>
      </c>
    </row>
    <row r="835" spans="1:5" x14ac:dyDescent="0.25">
      <c r="A835" t="s">
        <v>864</v>
      </c>
      <c r="B835">
        <v>5.2212214822415302E-2</v>
      </c>
      <c r="C835" s="5">
        <f t="shared" si="12"/>
        <v>0.10370429699438866</v>
      </c>
      <c r="D835">
        <v>1631232520.714</v>
      </c>
      <c r="E835">
        <v>286197023.393049</v>
      </c>
    </row>
    <row r="836" spans="1:5" x14ac:dyDescent="0.25">
      <c r="A836" t="s">
        <v>865</v>
      </c>
      <c r="B836">
        <v>5.3183189655747198E-2</v>
      </c>
      <c r="C836" s="5">
        <f t="shared" ref="C836:C899" si="13">B836/B835-1</f>
        <v>1.8596698811463641E-2</v>
      </c>
      <c r="D836">
        <v>1664173788.5694001</v>
      </c>
      <c r="E836">
        <v>258344089.06002599</v>
      </c>
    </row>
    <row r="837" spans="1:5" x14ac:dyDescent="0.25">
      <c r="A837" t="s">
        <v>866</v>
      </c>
      <c r="B837">
        <v>5.5872899175170097E-2</v>
      </c>
      <c r="C837" s="5">
        <f t="shared" si="13"/>
        <v>5.0574430319679786E-2</v>
      </c>
      <c r="D837">
        <v>1733739134.7114799</v>
      </c>
      <c r="E837">
        <v>220132465.336696</v>
      </c>
    </row>
    <row r="838" spans="1:5" x14ac:dyDescent="0.25">
      <c r="A838" t="s">
        <v>867</v>
      </c>
      <c r="B838">
        <v>5.3848764598728303E-2</v>
      </c>
      <c r="C838" s="5">
        <f t="shared" si="13"/>
        <v>-3.6227484278126054E-2</v>
      </c>
      <c r="D838">
        <v>1685694718.5613401</v>
      </c>
      <c r="E838">
        <v>196053869.98830599</v>
      </c>
    </row>
    <row r="839" spans="1:5" x14ac:dyDescent="0.25">
      <c r="A839" t="s">
        <v>868</v>
      </c>
      <c r="B839">
        <v>5.5455548420960003E-2</v>
      </c>
      <c r="C839" s="5">
        <f t="shared" si="13"/>
        <v>2.98388242368266E-2</v>
      </c>
      <c r="D839">
        <v>1727198232.6784101</v>
      </c>
      <c r="E839">
        <v>159634518.784594</v>
      </c>
    </row>
    <row r="840" spans="1:5" x14ac:dyDescent="0.25">
      <c r="A840" t="s">
        <v>869</v>
      </c>
      <c r="B840">
        <v>5.5766417933092997E-2</v>
      </c>
      <c r="C840" s="5">
        <f t="shared" si="13"/>
        <v>5.6057422743924779E-3</v>
      </c>
      <c r="D840">
        <v>1737643944.20784</v>
      </c>
      <c r="E840">
        <v>228621145.91299799</v>
      </c>
    </row>
    <row r="841" spans="1:5" x14ac:dyDescent="0.25">
      <c r="A841" t="s">
        <v>870</v>
      </c>
      <c r="B841">
        <v>5.6763986623298603E-2</v>
      </c>
      <c r="C841" s="5">
        <f t="shared" si="13"/>
        <v>1.7888340818348114E-2</v>
      </c>
      <c r="D841">
        <v>1765721504.76899</v>
      </c>
      <c r="E841">
        <v>164518222.311005</v>
      </c>
    </row>
    <row r="842" spans="1:5" x14ac:dyDescent="0.25">
      <c r="A842" t="s">
        <v>871</v>
      </c>
      <c r="B842">
        <v>5.5997103969236101E-2</v>
      </c>
      <c r="C842" s="5">
        <f t="shared" si="13"/>
        <v>-1.3510021048235177E-2</v>
      </c>
      <c r="D842">
        <v>1739481934.76367</v>
      </c>
      <c r="E842">
        <v>136675263.46726599</v>
      </c>
    </row>
    <row r="843" spans="1:5" x14ac:dyDescent="0.25">
      <c r="A843" t="s">
        <v>872</v>
      </c>
      <c r="B843">
        <v>5.8960991830188603E-2</v>
      </c>
      <c r="C843" s="5">
        <f t="shared" si="13"/>
        <v>5.2929306175919733E-2</v>
      </c>
      <c r="D843">
        <v>1838841590.6673901</v>
      </c>
      <c r="E843">
        <v>156637649.48422101</v>
      </c>
    </row>
    <row r="844" spans="1:5" x14ac:dyDescent="0.25">
      <c r="A844" t="s">
        <v>873</v>
      </c>
      <c r="B844">
        <v>5.9792837110445703E-2</v>
      </c>
      <c r="C844" s="5">
        <f t="shared" si="13"/>
        <v>1.4108400392124798E-2</v>
      </c>
      <c r="D844">
        <v>1859115447.03371</v>
      </c>
      <c r="E844">
        <v>159304871.65236601</v>
      </c>
    </row>
    <row r="845" spans="1:5" x14ac:dyDescent="0.25">
      <c r="A845" t="s">
        <v>874</v>
      </c>
      <c r="B845">
        <v>5.9774104115373601E-2</v>
      </c>
      <c r="C845" s="5">
        <f t="shared" si="13"/>
        <v>-3.1329831426962773E-4</v>
      </c>
      <c r="D845">
        <v>1859229765.5362101</v>
      </c>
      <c r="E845">
        <v>142690306.69238099</v>
      </c>
    </row>
    <row r="846" spans="1:5" x14ac:dyDescent="0.25">
      <c r="A846" t="s">
        <v>875</v>
      </c>
      <c r="B846">
        <v>6.01565113817484E-2</v>
      </c>
      <c r="C846" s="5">
        <f t="shared" si="13"/>
        <v>6.3975407416678731E-3</v>
      </c>
      <c r="D846">
        <v>1871644108.0753801</v>
      </c>
      <c r="E846">
        <v>125903922.22559699</v>
      </c>
    </row>
    <row r="847" spans="1:5" x14ac:dyDescent="0.25">
      <c r="A847" t="s">
        <v>876</v>
      </c>
      <c r="B847">
        <v>6.1531454994498497E-2</v>
      </c>
      <c r="C847" s="5">
        <f t="shared" si="13"/>
        <v>2.2856106199789616E-2</v>
      </c>
      <c r="D847">
        <v>1913377671.572</v>
      </c>
      <c r="E847">
        <v>129259369.74149799</v>
      </c>
    </row>
    <row r="848" spans="1:5" x14ac:dyDescent="0.25">
      <c r="A848" t="s">
        <v>877</v>
      </c>
      <c r="B848">
        <v>6.0256186685248202E-2</v>
      </c>
      <c r="C848" s="5">
        <f t="shared" si="13"/>
        <v>-2.0725469751435521E-2</v>
      </c>
      <c r="D848">
        <v>1874732871.0104599</v>
      </c>
      <c r="E848">
        <v>130595621.545284</v>
      </c>
    </row>
    <row r="849" spans="1:5" x14ac:dyDescent="0.25">
      <c r="A849" t="s">
        <v>878</v>
      </c>
      <c r="B849">
        <v>6.2889787994300797E-2</v>
      </c>
      <c r="C849" s="5">
        <f t="shared" si="13"/>
        <v>4.3706737082606528E-2</v>
      </c>
      <c r="D849">
        <v>1953385977.42803</v>
      </c>
      <c r="E849">
        <v>254958634.87714699</v>
      </c>
    </row>
    <row r="850" spans="1:5" x14ac:dyDescent="0.25">
      <c r="A850" t="s">
        <v>879</v>
      </c>
      <c r="B850">
        <v>6.7291851934656394E-2</v>
      </c>
      <c r="C850" s="5">
        <f t="shared" si="13"/>
        <v>6.9996482429778961E-2</v>
      </c>
      <c r="D850">
        <v>2093147933.2551401</v>
      </c>
      <c r="E850">
        <v>283365264.52459598</v>
      </c>
    </row>
    <row r="851" spans="1:5" x14ac:dyDescent="0.25">
      <c r="A851" t="s">
        <v>880</v>
      </c>
      <c r="B851">
        <v>6.8365300001082596E-2</v>
      </c>
      <c r="C851" s="5">
        <f t="shared" si="13"/>
        <v>1.5952125488663427E-2</v>
      </c>
      <c r="D851">
        <v>2135939462.11887</v>
      </c>
      <c r="E851">
        <v>335446932.67890799</v>
      </c>
    </row>
    <row r="852" spans="1:5" x14ac:dyDescent="0.25">
      <c r="A852" t="s">
        <v>881</v>
      </c>
      <c r="B852">
        <v>7.0328563542467401E-2</v>
      </c>
      <c r="C852" s="5">
        <f t="shared" si="13"/>
        <v>2.8717251900506779E-2</v>
      </c>
      <c r="D852">
        <v>2185247021.7657299</v>
      </c>
      <c r="E852">
        <v>253062181.272089</v>
      </c>
    </row>
    <row r="853" spans="1:5" x14ac:dyDescent="0.25">
      <c r="A853" t="s">
        <v>882</v>
      </c>
      <c r="B853">
        <v>6.4726126545140303E-2</v>
      </c>
      <c r="C853" s="5">
        <f t="shared" si="13"/>
        <v>-7.9660904689800804E-2</v>
      </c>
      <c r="D853">
        <v>2015733205.69789</v>
      </c>
      <c r="E853">
        <v>242397210.939073</v>
      </c>
    </row>
    <row r="854" spans="1:5" x14ac:dyDescent="0.25">
      <c r="A854" t="s">
        <v>883</v>
      </c>
      <c r="B854">
        <v>6.2857109083444496E-2</v>
      </c>
      <c r="C854" s="5">
        <f t="shared" si="13"/>
        <v>-2.8875781101968867E-2</v>
      </c>
      <c r="D854">
        <v>1964825566.13661</v>
      </c>
      <c r="E854">
        <v>277034923.63300002</v>
      </c>
    </row>
    <row r="855" spans="1:5" x14ac:dyDescent="0.25">
      <c r="A855" t="s">
        <v>884</v>
      </c>
      <c r="B855">
        <v>6.0451761304701701E-2</v>
      </c>
      <c r="C855" s="5">
        <f t="shared" si="13"/>
        <v>-3.8266917041151705E-2</v>
      </c>
      <c r="D855">
        <v>1871133461.9210601</v>
      </c>
      <c r="E855">
        <v>272004390.50902897</v>
      </c>
    </row>
    <row r="856" spans="1:5" x14ac:dyDescent="0.25">
      <c r="A856" t="s">
        <v>885</v>
      </c>
      <c r="B856">
        <v>6.2547059227337096E-2</v>
      </c>
      <c r="C856" s="5">
        <f t="shared" si="13"/>
        <v>3.4660659630316282E-2</v>
      </c>
      <c r="D856">
        <v>1952625493.45046</v>
      </c>
      <c r="E856">
        <v>251750540.32566899</v>
      </c>
    </row>
    <row r="857" spans="1:5" x14ac:dyDescent="0.25">
      <c r="A857" t="s">
        <v>886</v>
      </c>
      <c r="B857">
        <v>5.8181711299479903E-2</v>
      </c>
      <c r="C857" s="5">
        <f t="shared" si="13"/>
        <v>-6.9793016358941085E-2</v>
      </c>
      <c r="D857">
        <v>1821759622.8736999</v>
      </c>
      <c r="E857">
        <v>228558898.74390599</v>
      </c>
    </row>
    <row r="858" spans="1:5" x14ac:dyDescent="0.25">
      <c r="A858" t="s">
        <v>887</v>
      </c>
      <c r="B858">
        <v>5.7775656536621797E-2</v>
      </c>
      <c r="C858" s="5">
        <f t="shared" si="13"/>
        <v>-6.9790790574724149E-3</v>
      </c>
      <c r="D858">
        <v>1802782690.6268499</v>
      </c>
      <c r="E858">
        <v>263452977.34373799</v>
      </c>
    </row>
    <row r="859" spans="1:5" x14ac:dyDescent="0.25">
      <c r="A859" t="s">
        <v>888</v>
      </c>
      <c r="B859">
        <v>5.86582284870176E-2</v>
      </c>
      <c r="C859" s="5">
        <f t="shared" si="13"/>
        <v>1.5275844590989074E-2</v>
      </c>
      <c r="D859">
        <v>1829056816.1944499</v>
      </c>
      <c r="E859">
        <v>230599472.21814501</v>
      </c>
    </row>
    <row r="860" spans="1:5" x14ac:dyDescent="0.25">
      <c r="A860" t="s">
        <v>889</v>
      </c>
      <c r="B860">
        <v>5.8393923271808201E-2</v>
      </c>
      <c r="C860" s="5">
        <f t="shared" si="13"/>
        <v>-4.5058506202227955E-3</v>
      </c>
      <c r="D860">
        <v>1811388698.11832</v>
      </c>
      <c r="E860">
        <v>166718271.37555</v>
      </c>
    </row>
    <row r="861" spans="1:5" x14ac:dyDescent="0.25">
      <c r="A861" t="s">
        <v>890</v>
      </c>
      <c r="B861">
        <v>6.0734562675727202E-2</v>
      </c>
      <c r="C861" s="5">
        <f t="shared" si="13"/>
        <v>4.0083612690723802E-2</v>
      </c>
      <c r="D861">
        <v>1886303219.5727301</v>
      </c>
      <c r="E861">
        <v>232674655.60882199</v>
      </c>
    </row>
    <row r="862" spans="1:5" x14ac:dyDescent="0.25">
      <c r="A862" t="s">
        <v>891</v>
      </c>
      <c r="B862">
        <v>5.9358855575303397E-2</v>
      </c>
      <c r="C862" s="5">
        <f t="shared" si="13"/>
        <v>-2.2651140303239781E-2</v>
      </c>
      <c r="D862">
        <v>1843271731.5724699</v>
      </c>
      <c r="E862">
        <v>254977199.08552101</v>
      </c>
    </row>
    <row r="863" spans="1:5" x14ac:dyDescent="0.25">
      <c r="A863" t="s">
        <v>892</v>
      </c>
      <c r="B863">
        <v>5.6625023918780097E-2</v>
      </c>
      <c r="C863" s="5">
        <f t="shared" si="13"/>
        <v>-4.6056003439202575E-2</v>
      </c>
      <c r="D863">
        <v>1763321340.76633</v>
      </c>
      <c r="E863">
        <v>223975114.03415999</v>
      </c>
    </row>
    <row r="864" spans="1:5" x14ac:dyDescent="0.25">
      <c r="A864" t="s">
        <v>893</v>
      </c>
      <c r="B864">
        <v>5.0644655956713303E-2</v>
      </c>
      <c r="C864" s="5">
        <f t="shared" si="13"/>
        <v>-0.10561351763214644</v>
      </c>
      <c r="D864">
        <v>1578309017.5664899</v>
      </c>
      <c r="E864">
        <v>274099295.56844199</v>
      </c>
    </row>
    <row r="865" spans="1:5" x14ac:dyDescent="0.25">
      <c r="A865" t="s">
        <v>894</v>
      </c>
      <c r="B865">
        <v>4.9602674255913297E-2</v>
      </c>
      <c r="C865" s="5">
        <f t="shared" si="13"/>
        <v>-2.0574366260688981E-2</v>
      </c>
      <c r="D865">
        <v>1546750720.83393</v>
      </c>
      <c r="E865">
        <v>209902464.90978199</v>
      </c>
    </row>
    <row r="866" spans="1:5" x14ac:dyDescent="0.25">
      <c r="A866" t="s">
        <v>895</v>
      </c>
      <c r="B866">
        <v>4.8926399932164397E-2</v>
      </c>
      <c r="C866" s="5">
        <f t="shared" si="13"/>
        <v>-1.3633827891210482E-2</v>
      </c>
      <c r="D866">
        <v>1531950187.0796101</v>
      </c>
      <c r="E866">
        <v>195936467.485089</v>
      </c>
    </row>
    <row r="867" spans="1:5" x14ac:dyDescent="0.25">
      <c r="A867" t="s">
        <v>896</v>
      </c>
      <c r="B867">
        <v>4.7364174587311701E-2</v>
      </c>
      <c r="C867" s="5">
        <f t="shared" si="13"/>
        <v>-3.1930110268049483E-2</v>
      </c>
      <c r="D867">
        <v>1481631103.8686399</v>
      </c>
      <c r="E867">
        <v>120953605.769566</v>
      </c>
    </row>
    <row r="868" spans="1:5" x14ac:dyDescent="0.25">
      <c r="A868" t="s">
        <v>897</v>
      </c>
      <c r="B868">
        <v>4.6172079440448301E-2</v>
      </c>
      <c r="C868" s="5">
        <f t="shared" si="13"/>
        <v>-2.5168709414873813E-2</v>
      </c>
      <c r="D868">
        <v>1435816109.7772601</v>
      </c>
      <c r="E868">
        <v>124670458.46928699</v>
      </c>
    </row>
    <row r="869" spans="1:5" x14ac:dyDescent="0.25">
      <c r="A869" t="s">
        <v>898</v>
      </c>
      <c r="B869">
        <v>4.8794270674382599E-2</v>
      </c>
      <c r="C869" s="5">
        <f t="shared" si="13"/>
        <v>5.6791707579822992E-2</v>
      </c>
      <c r="D869">
        <v>1515782622.41629</v>
      </c>
      <c r="E869">
        <v>141670557.780462</v>
      </c>
    </row>
    <row r="870" spans="1:5" x14ac:dyDescent="0.25">
      <c r="A870" t="s">
        <v>899</v>
      </c>
      <c r="B870">
        <v>4.8648114575934001E-2</v>
      </c>
      <c r="C870" s="5">
        <f t="shared" si="13"/>
        <v>-2.9953536845327422E-3</v>
      </c>
      <c r="D870">
        <v>1516016247.2014501</v>
      </c>
      <c r="E870">
        <v>150407091.007092</v>
      </c>
    </row>
    <row r="871" spans="1:5" x14ac:dyDescent="0.25">
      <c r="A871" t="s">
        <v>900</v>
      </c>
      <c r="B871">
        <v>4.88984599746628E-2</v>
      </c>
      <c r="C871" s="5">
        <f t="shared" si="13"/>
        <v>5.1460452457625649E-3</v>
      </c>
      <c r="D871">
        <v>1519410636.5864601</v>
      </c>
      <c r="E871">
        <v>170344689.42108199</v>
      </c>
    </row>
    <row r="872" spans="1:5" x14ac:dyDescent="0.25">
      <c r="A872" t="s">
        <v>901</v>
      </c>
      <c r="B872">
        <v>5.08706766907552E-2</v>
      </c>
      <c r="C872" s="5">
        <f t="shared" si="13"/>
        <v>4.0332900404518313E-2</v>
      </c>
      <c r="D872">
        <v>1581607337.82149</v>
      </c>
      <c r="E872">
        <v>142091918.55701301</v>
      </c>
    </row>
    <row r="873" spans="1:5" x14ac:dyDescent="0.25">
      <c r="A873" t="s">
        <v>902</v>
      </c>
      <c r="B873">
        <v>5.1380435471976002E-2</v>
      </c>
      <c r="C873" s="5">
        <f t="shared" si="13"/>
        <v>1.002068017140112E-2</v>
      </c>
      <c r="D873">
        <v>1595164988.8480201</v>
      </c>
      <c r="E873">
        <v>136293489.32336399</v>
      </c>
    </row>
    <row r="874" spans="1:5" x14ac:dyDescent="0.25">
      <c r="A874" t="s">
        <v>903</v>
      </c>
      <c r="B874">
        <v>4.9239964667926697E-2</v>
      </c>
      <c r="C874" s="5">
        <f t="shared" si="13"/>
        <v>-4.1659257738614563E-2</v>
      </c>
      <c r="D874">
        <v>1530117969.7091401</v>
      </c>
      <c r="E874">
        <v>125016889.24696501</v>
      </c>
    </row>
    <row r="875" spans="1:5" x14ac:dyDescent="0.25">
      <c r="A875" t="s">
        <v>904</v>
      </c>
      <c r="B875">
        <v>4.32844900418188E-2</v>
      </c>
      <c r="C875" s="5">
        <f t="shared" si="13"/>
        <v>-0.12094798739746249</v>
      </c>
      <c r="D875">
        <v>1340799680.82985</v>
      </c>
      <c r="E875">
        <v>145742667.29249799</v>
      </c>
    </row>
    <row r="876" spans="1:5" x14ac:dyDescent="0.25">
      <c r="A876" t="s">
        <v>905</v>
      </c>
      <c r="B876">
        <v>4.1617236660326198E-2</v>
      </c>
      <c r="C876" s="5">
        <f t="shared" si="13"/>
        <v>-3.8518494266232661E-2</v>
      </c>
      <c r="D876">
        <v>1295651579.7978401</v>
      </c>
      <c r="E876">
        <v>166720941.06616399</v>
      </c>
    </row>
    <row r="877" spans="1:5" x14ac:dyDescent="0.25">
      <c r="A877" t="s">
        <v>906</v>
      </c>
      <c r="B877">
        <v>4.1398227411763397E-2</v>
      </c>
      <c r="C877" s="5">
        <f t="shared" si="13"/>
        <v>-5.2624649337081886E-3</v>
      </c>
      <c r="D877">
        <v>1292352733.16222</v>
      </c>
      <c r="E877">
        <v>140500959.22321901</v>
      </c>
    </row>
    <row r="878" spans="1:5" x14ac:dyDescent="0.25">
      <c r="A878" t="s">
        <v>907</v>
      </c>
      <c r="B878">
        <v>4.0066910703005401E-2</v>
      </c>
      <c r="C878" s="5">
        <f t="shared" si="13"/>
        <v>-3.215878533919303E-2</v>
      </c>
      <c r="D878">
        <v>1244090560.1131101</v>
      </c>
      <c r="E878">
        <v>131897068.04937799</v>
      </c>
    </row>
    <row r="879" spans="1:5" x14ac:dyDescent="0.25">
      <c r="A879" t="s">
        <v>908</v>
      </c>
      <c r="B879">
        <v>2.37159653927131E-2</v>
      </c>
      <c r="C879" s="5">
        <f t="shared" si="13"/>
        <v>-0.40809099137922367</v>
      </c>
      <c r="D879">
        <v>733569243.54139197</v>
      </c>
      <c r="E879">
        <v>211978802.34647799</v>
      </c>
    </row>
    <row r="880" spans="1:5" x14ac:dyDescent="0.25">
      <c r="A880" t="s">
        <v>909</v>
      </c>
      <c r="B880">
        <v>2.8339513929699099E-2</v>
      </c>
      <c r="C880" s="5">
        <f t="shared" si="13"/>
        <v>0.19495510557654194</v>
      </c>
      <c r="D880">
        <v>867613747.64832306</v>
      </c>
      <c r="E880">
        <v>289676259.778337</v>
      </c>
    </row>
    <row r="881" spans="1:5" x14ac:dyDescent="0.25">
      <c r="A881" t="s">
        <v>910</v>
      </c>
      <c r="B881">
        <v>2.60476982387382E-2</v>
      </c>
      <c r="C881" s="5">
        <f t="shared" si="13"/>
        <v>-8.0869971752025482E-2</v>
      </c>
      <c r="D881">
        <v>807435012.82667196</v>
      </c>
      <c r="E881">
        <v>97926867.781537399</v>
      </c>
    </row>
    <row r="882" spans="1:5" x14ac:dyDescent="0.25">
      <c r="A882" t="s">
        <v>911</v>
      </c>
      <c r="B882">
        <v>2.6756995277093899E-2</v>
      </c>
      <c r="C882" s="5">
        <f t="shared" si="13"/>
        <v>2.7230699306122652E-2</v>
      </c>
      <c r="D882">
        <v>840720328.36850595</v>
      </c>
      <c r="E882">
        <v>98577461.913351595</v>
      </c>
    </row>
    <row r="883" spans="1:5" x14ac:dyDescent="0.25">
      <c r="A883" t="s">
        <v>912</v>
      </c>
      <c r="B883">
        <v>2.43465263727503E-2</v>
      </c>
      <c r="C883" s="5">
        <f t="shared" si="13"/>
        <v>-9.008742870344455E-2</v>
      </c>
      <c r="D883">
        <v>760151209.73136997</v>
      </c>
      <c r="E883">
        <v>136720716.22836399</v>
      </c>
    </row>
    <row r="884" spans="1:5" x14ac:dyDescent="0.25">
      <c r="A884" t="s">
        <v>913</v>
      </c>
      <c r="B884">
        <v>2.5700793838345799E-2</v>
      </c>
      <c r="C884" s="5">
        <f t="shared" si="13"/>
        <v>5.562466878688932E-2</v>
      </c>
      <c r="D884">
        <v>808050684.47554898</v>
      </c>
      <c r="E884">
        <v>106703913.57145</v>
      </c>
    </row>
    <row r="885" spans="1:5" x14ac:dyDescent="0.25">
      <c r="A885" t="s">
        <v>914</v>
      </c>
      <c r="B885">
        <v>2.5837920695047499E-2</v>
      </c>
      <c r="C885" s="5">
        <f t="shared" si="13"/>
        <v>5.3355105513164247E-3</v>
      </c>
      <c r="D885">
        <v>802095050.15626597</v>
      </c>
      <c r="E885">
        <v>107356169.80102301</v>
      </c>
    </row>
    <row r="886" spans="1:5" x14ac:dyDescent="0.25">
      <c r="A886" t="s">
        <v>915</v>
      </c>
      <c r="B886">
        <v>3.0025358670093E-2</v>
      </c>
      <c r="C886" s="5">
        <f t="shared" si="13"/>
        <v>0.16206559438229617</v>
      </c>
      <c r="D886">
        <v>941233082.89729798</v>
      </c>
      <c r="E886">
        <v>154960081.101854</v>
      </c>
    </row>
    <row r="887" spans="1:5" x14ac:dyDescent="0.25">
      <c r="A887" t="s">
        <v>916</v>
      </c>
      <c r="B887">
        <v>2.9563156863756698E-2</v>
      </c>
      <c r="C887" s="5">
        <f t="shared" si="13"/>
        <v>-1.5393714740090103E-2</v>
      </c>
      <c r="D887">
        <v>919791612.67691302</v>
      </c>
      <c r="E887">
        <v>183999555.67569301</v>
      </c>
    </row>
    <row r="888" spans="1:5" x14ac:dyDescent="0.25">
      <c r="A888" t="s">
        <v>917</v>
      </c>
      <c r="B888">
        <v>2.9209666600019099E-2</v>
      </c>
      <c r="C888" s="5">
        <f t="shared" si="13"/>
        <v>-1.195712167569507E-2</v>
      </c>
      <c r="D888">
        <v>908484606.045223</v>
      </c>
      <c r="E888">
        <v>124168282.906958</v>
      </c>
    </row>
    <row r="889" spans="1:5" x14ac:dyDescent="0.25">
      <c r="A889" t="s">
        <v>918</v>
      </c>
      <c r="B889">
        <v>2.72993389458983E-2</v>
      </c>
      <c r="C889" s="5">
        <f t="shared" si="13"/>
        <v>-6.5400529224785786E-2</v>
      </c>
      <c r="D889">
        <v>849511432.18140805</v>
      </c>
      <c r="E889">
        <v>107973019.06646401</v>
      </c>
    </row>
    <row r="890" spans="1:5" x14ac:dyDescent="0.25">
      <c r="A890" t="s">
        <v>919</v>
      </c>
      <c r="B890">
        <v>2.9350724334646899E-2</v>
      </c>
      <c r="C890" s="5">
        <f t="shared" si="13"/>
        <v>7.5144141505185225E-2</v>
      </c>
      <c r="D890">
        <v>908533570.96866703</v>
      </c>
      <c r="E890">
        <v>122524431.851491</v>
      </c>
    </row>
    <row r="891" spans="1:5" x14ac:dyDescent="0.25">
      <c r="A891" t="s">
        <v>920</v>
      </c>
      <c r="B891">
        <v>3.0292189964117401E-2</v>
      </c>
      <c r="C891" s="5">
        <f t="shared" si="13"/>
        <v>3.2076401888288419E-2</v>
      </c>
      <c r="D891">
        <v>941771018.34703195</v>
      </c>
      <c r="E891">
        <v>115754274.5616</v>
      </c>
    </row>
    <row r="892" spans="1:5" x14ac:dyDescent="0.25">
      <c r="A892" t="s">
        <v>921</v>
      </c>
      <c r="B892">
        <v>2.9553286311834501E-2</v>
      </c>
      <c r="C892" s="5">
        <f t="shared" si="13"/>
        <v>-2.4392546499878986E-2</v>
      </c>
      <c r="D892">
        <v>917066394.57628</v>
      </c>
      <c r="E892">
        <v>107760572.348554</v>
      </c>
    </row>
    <row r="893" spans="1:5" x14ac:dyDescent="0.25">
      <c r="A893" t="s">
        <v>922</v>
      </c>
      <c r="B893">
        <v>3.02790698903629E-2</v>
      </c>
      <c r="C893" s="5">
        <f t="shared" si="13"/>
        <v>2.4558472816532895E-2</v>
      </c>
      <c r="D893">
        <v>942093594.83171201</v>
      </c>
      <c r="E893">
        <v>104078533.858918</v>
      </c>
    </row>
    <row r="894" spans="1:5" x14ac:dyDescent="0.25">
      <c r="A894" t="s">
        <v>923</v>
      </c>
      <c r="B894">
        <v>2.9051152675985799E-2</v>
      </c>
      <c r="C894" s="5">
        <f t="shared" si="13"/>
        <v>-4.0553333336302955E-2</v>
      </c>
      <c r="D894">
        <v>889441790.78648102</v>
      </c>
      <c r="E894">
        <v>102692751.71481401</v>
      </c>
    </row>
    <row r="895" spans="1:5" x14ac:dyDescent="0.25">
      <c r="A895" t="s">
        <v>924</v>
      </c>
      <c r="B895">
        <v>2.9258974440926601E-2</v>
      </c>
      <c r="C895" s="5">
        <f t="shared" si="13"/>
        <v>7.1536495387527488E-3</v>
      </c>
      <c r="D895">
        <v>910287954.91005504</v>
      </c>
      <c r="E895">
        <v>105439265.183266</v>
      </c>
    </row>
    <row r="896" spans="1:5" x14ac:dyDescent="0.25">
      <c r="A896" t="s">
        <v>925</v>
      </c>
      <c r="B896">
        <v>2.8134649974373999E-2</v>
      </c>
      <c r="C896" s="5">
        <f t="shared" si="13"/>
        <v>-3.8426653293080926E-2</v>
      </c>
      <c r="D896">
        <v>878075726.93800104</v>
      </c>
      <c r="E896">
        <v>87505944.230061695</v>
      </c>
    </row>
    <row r="897" spans="1:5" x14ac:dyDescent="0.25">
      <c r="A897" t="s">
        <v>926</v>
      </c>
      <c r="B897">
        <v>2.9919979067588399E-2</v>
      </c>
      <c r="C897" s="5">
        <f t="shared" si="13"/>
        <v>6.3456595153682072E-2</v>
      </c>
      <c r="D897">
        <v>933379645.64571095</v>
      </c>
      <c r="E897">
        <v>104645794.600824</v>
      </c>
    </row>
    <row r="898" spans="1:5" x14ac:dyDescent="0.25">
      <c r="A898" t="s">
        <v>927</v>
      </c>
      <c r="B898">
        <v>3.0115490879317901E-2</v>
      </c>
      <c r="C898" s="5">
        <f t="shared" si="13"/>
        <v>6.5344902577586517E-3</v>
      </c>
      <c r="D898">
        <v>936797188.35327995</v>
      </c>
      <c r="E898">
        <v>99418401.8197532</v>
      </c>
    </row>
    <row r="899" spans="1:5" x14ac:dyDescent="0.25">
      <c r="A899" t="s">
        <v>928</v>
      </c>
      <c r="B899">
        <v>3.1124362144468998E-2</v>
      </c>
      <c r="C899" s="5">
        <f t="shared" si="13"/>
        <v>3.3500077059808175E-2</v>
      </c>
      <c r="D899">
        <v>962162504.95050597</v>
      </c>
      <c r="E899">
        <v>115117998.29999501</v>
      </c>
    </row>
    <row r="900" spans="1:5" x14ac:dyDescent="0.25">
      <c r="A900" t="s">
        <v>929</v>
      </c>
      <c r="B900">
        <v>3.1923831196736203E-2</v>
      </c>
      <c r="C900" s="5">
        <f t="shared" ref="C900:C963" si="14">B900/B899-1</f>
        <v>2.5686279081201135E-2</v>
      </c>
      <c r="D900">
        <v>988387669.94272304</v>
      </c>
      <c r="E900">
        <v>133807050.54801901</v>
      </c>
    </row>
    <row r="901" spans="1:5" x14ac:dyDescent="0.25">
      <c r="A901" t="s">
        <v>930</v>
      </c>
      <c r="B901">
        <v>3.1900340917408697E-2</v>
      </c>
      <c r="C901" s="5">
        <f t="shared" si="14"/>
        <v>-7.3582268941163598E-4</v>
      </c>
      <c r="D901">
        <v>993528047.30702806</v>
      </c>
      <c r="E901">
        <v>110357362.06716301</v>
      </c>
    </row>
    <row r="902" spans="1:5" x14ac:dyDescent="0.25">
      <c r="A902" t="s">
        <v>931</v>
      </c>
      <c r="B902">
        <v>3.2559946978819497E-2</v>
      </c>
      <c r="C902" s="5">
        <f t="shared" si="14"/>
        <v>2.0677085022964059E-2</v>
      </c>
      <c r="D902">
        <v>1008514394.7825</v>
      </c>
      <c r="E902">
        <v>111823144.802522</v>
      </c>
    </row>
    <row r="903" spans="1:5" x14ac:dyDescent="0.25">
      <c r="A903" t="s">
        <v>932</v>
      </c>
      <c r="B903">
        <v>3.1901155894169697E-2</v>
      </c>
      <c r="C903" s="5">
        <f t="shared" si="14"/>
        <v>-2.0233174368445628E-2</v>
      </c>
      <c r="D903">
        <v>992177656.84689903</v>
      </c>
      <c r="E903">
        <v>83582839.877448902</v>
      </c>
    </row>
    <row r="904" spans="1:5" x14ac:dyDescent="0.25">
      <c r="A904" t="s">
        <v>933</v>
      </c>
      <c r="B904">
        <v>3.5152640453031098E-2</v>
      </c>
      <c r="C904" s="5">
        <f t="shared" si="14"/>
        <v>0.10192372243965142</v>
      </c>
      <c r="D904">
        <v>1087744924.0649099</v>
      </c>
      <c r="E904">
        <v>147918099.221946</v>
      </c>
    </row>
    <row r="905" spans="1:5" x14ac:dyDescent="0.25">
      <c r="A905" t="s">
        <v>934</v>
      </c>
      <c r="B905">
        <v>3.5176992270289899E-2</v>
      </c>
      <c r="C905" s="5">
        <f t="shared" si="14"/>
        <v>6.9274503835181633E-4</v>
      </c>
      <c r="D905">
        <v>1093112390.5366299</v>
      </c>
      <c r="E905">
        <v>151556119.30055901</v>
      </c>
    </row>
    <row r="906" spans="1:5" x14ac:dyDescent="0.25">
      <c r="A906" t="s">
        <v>935</v>
      </c>
      <c r="B906">
        <v>3.6138737022157703E-2</v>
      </c>
      <c r="C906" s="5">
        <f t="shared" si="14"/>
        <v>2.7340164402858358E-2</v>
      </c>
      <c r="D906">
        <v>1125589634.1122701</v>
      </c>
      <c r="E906">
        <v>163870561.38733599</v>
      </c>
    </row>
    <row r="907" spans="1:5" x14ac:dyDescent="0.25">
      <c r="A907" t="s">
        <v>936</v>
      </c>
      <c r="B907">
        <v>3.62387493283838E-2</v>
      </c>
      <c r="C907" s="5">
        <f t="shared" si="14"/>
        <v>2.7674543846061272E-3</v>
      </c>
      <c r="D907">
        <v>1124830313.0685799</v>
      </c>
      <c r="E907">
        <v>136962104.92318699</v>
      </c>
    </row>
    <row r="908" spans="1:5" x14ac:dyDescent="0.25">
      <c r="A908" t="s">
        <v>937</v>
      </c>
      <c r="B908">
        <v>3.3550894102572497E-2</v>
      </c>
      <c r="C908" s="5">
        <f t="shared" si="14"/>
        <v>-7.4170750250093676E-2</v>
      </c>
      <c r="D908">
        <v>1042324486.83635</v>
      </c>
      <c r="E908">
        <v>161039582.50861001</v>
      </c>
    </row>
    <row r="909" spans="1:5" x14ac:dyDescent="0.25">
      <c r="A909" t="s">
        <v>938</v>
      </c>
      <c r="B909">
        <v>3.3337715920097398E-2</v>
      </c>
      <c r="C909" s="5">
        <f t="shared" si="14"/>
        <v>-6.3538748572055104E-3</v>
      </c>
      <c r="D909">
        <v>1036932847.93698</v>
      </c>
      <c r="E909">
        <v>115182655.42002299</v>
      </c>
    </row>
    <row r="910" spans="1:5" x14ac:dyDescent="0.25">
      <c r="A910" t="s">
        <v>939</v>
      </c>
      <c r="B910">
        <v>3.3502824832818801E-2</v>
      </c>
      <c r="C910" s="5">
        <f t="shared" si="14"/>
        <v>4.9526162235327131E-3</v>
      </c>
      <c r="D910">
        <v>1052967605.85779</v>
      </c>
      <c r="E910">
        <v>109412693.21393099</v>
      </c>
    </row>
    <row r="911" spans="1:5" x14ac:dyDescent="0.25">
      <c r="A911" t="s">
        <v>940</v>
      </c>
      <c r="B911">
        <v>3.3164582986299797E-2</v>
      </c>
      <c r="C911" s="5">
        <f t="shared" si="14"/>
        <v>-1.0095920215887788E-2</v>
      </c>
      <c r="D911">
        <v>1031622714.63293</v>
      </c>
      <c r="E911">
        <v>127857134.595329</v>
      </c>
    </row>
    <row r="912" spans="1:5" x14ac:dyDescent="0.25">
      <c r="A912" t="s">
        <v>941</v>
      </c>
      <c r="B912">
        <v>3.3087641262894499E-2</v>
      </c>
      <c r="C912" s="5">
        <f t="shared" si="14"/>
        <v>-2.3199967096551033E-3</v>
      </c>
      <c r="D912">
        <v>1029361971.92616</v>
      </c>
      <c r="E912">
        <v>110605528.217673</v>
      </c>
    </row>
    <row r="913" spans="1:5" x14ac:dyDescent="0.25">
      <c r="A913" t="s">
        <v>942</v>
      </c>
      <c r="B913">
        <v>3.1854947221113102E-2</v>
      </c>
      <c r="C913" s="5">
        <f t="shared" si="14"/>
        <v>-3.7255422107219771E-2</v>
      </c>
      <c r="D913">
        <v>990994166.17567205</v>
      </c>
      <c r="E913">
        <v>100008952.078041</v>
      </c>
    </row>
    <row r="914" spans="1:5" x14ac:dyDescent="0.25">
      <c r="A914" t="s">
        <v>943</v>
      </c>
      <c r="B914">
        <v>3.4215732004013198E-2</v>
      </c>
      <c r="C914" s="5">
        <f t="shared" si="14"/>
        <v>7.4110459719594068E-2</v>
      </c>
      <c r="D914">
        <v>1065455000.85516</v>
      </c>
      <c r="E914">
        <v>162619038.51849499</v>
      </c>
    </row>
    <row r="915" spans="1:5" x14ac:dyDescent="0.25">
      <c r="A915" t="s">
        <v>944</v>
      </c>
      <c r="B915">
        <v>3.4226800145962903E-2</v>
      </c>
      <c r="C915" s="5">
        <f t="shared" si="14"/>
        <v>3.2348108023549926E-4</v>
      </c>
      <c r="D915">
        <v>1072544970.1671</v>
      </c>
      <c r="E915">
        <v>117736903.479571</v>
      </c>
    </row>
    <row r="916" spans="1:5" x14ac:dyDescent="0.25">
      <c r="A916" t="s">
        <v>945</v>
      </c>
      <c r="B916">
        <v>3.6171350753417902E-2</v>
      </c>
      <c r="C916" s="5">
        <f t="shared" si="14"/>
        <v>5.6813683989222152E-2</v>
      </c>
      <c r="D916">
        <v>1125561442.43067</v>
      </c>
      <c r="E916">
        <v>140344430.95982599</v>
      </c>
    </row>
    <row r="917" spans="1:5" x14ac:dyDescent="0.25">
      <c r="A917" t="s">
        <v>946</v>
      </c>
      <c r="B917">
        <v>3.5764468632665497E-2</v>
      </c>
      <c r="C917" s="5">
        <f t="shared" si="14"/>
        <v>-1.124874001875531E-2</v>
      </c>
      <c r="D917">
        <v>1112887291.7447</v>
      </c>
      <c r="E917">
        <v>136449252.08869699</v>
      </c>
    </row>
    <row r="918" spans="1:5" x14ac:dyDescent="0.25">
      <c r="A918" t="s">
        <v>947</v>
      </c>
      <c r="B918">
        <v>3.4035708050437798E-2</v>
      </c>
      <c r="C918" s="5">
        <f t="shared" si="14"/>
        <v>-4.8337376405160226E-2</v>
      </c>
      <c r="D918">
        <v>1059941619.80159</v>
      </c>
      <c r="E918">
        <v>140386733.67109799</v>
      </c>
    </row>
    <row r="919" spans="1:5" x14ac:dyDescent="0.25">
      <c r="A919" t="s">
        <v>948</v>
      </c>
      <c r="B919">
        <v>3.4321463320175799E-2</v>
      </c>
      <c r="C919" s="5">
        <f t="shared" si="14"/>
        <v>8.3957492323807337E-3</v>
      </c>
      <c r="D919">
        <v>1068102318.6141</v>
      </c>
      <c r="E919">
        <v>128811222.538403</v>
      </c>
    </row>
    <row r="920" spans="1:5" x14ac:dyDescent="0.25">
      <c r="A920" t="s">
        <v>949</v>
      </c>
      <c r="B920">
        <v>3.6251791946901001E-2</v>
      </c>
      <c r="C920" s="5">
        <f t="shared" si="14"/>
        <v>5.6242608560062912E-2</v>
      </c>
      <c r="D920">
        <v>1128863796.64153</v>
      </c>
      <c r="E920">
        <v>124398269.130308</v>
      </c>
    </row>
    <row r="921" spans="1:5" x14ac:dyDescent="0.25">
      <c r="A921" t="s">
        <v>950</v>
      </c>
      <c r="B921">
        <v>3.9865158746442898E-2</v>
      </c>
      <c r="C921" s="5">
        <f t="shared" si="14"/>
        <v>9.967415693090409E-2</v>
      </c>
      <c r="D921">
        <v>1237524241.1413701</v>
      </c>
      <c r="E921">
        <v>275173060.47260201</v>
      </c>
    </row>
    <row r="922" spans="1:5" x14ac:dyDescent="0.25">
      <c r="A922" t="s">
        <v>951</v>
      </c>
      <c r="B922">
        <v>4.1376311502036203E-2</v>
      </c>
      <c r="C922" s="5">
        <f t="shared" si="14"/>
        <v>3.7906603237297887E-2</v>
      </c>
      <c r="D922">
        <v>1287837852.5130999</v>
      </c>
      <c r="E922">
        <v>286509553.68496001</v>
      </c>
    </row>
    <row r="923" spans="1:5" x14ac:dyDescent="0.25">
      <c r="A923" t="s">
        <v>952</v>
      </c>
      <c r="B923">
        <v>4.2297048210688901E-2</v>
      </c>
      <c r="C923" s="5">
        <f t="shared" si="14"/>
        <v>2.2252749827818441E-2</v>
      </c>
      <c r="D923">
        <v>1314141666.6088099</v>
      </c>
      <c r="E923">
        <v>176658780.92330199</v>
      </c>
    </row>
    <row r="924" spans="1:5" x14ac:dyDescent="0.25">
      <c r="A924" t="s">
        <v>953</v>
      </c>
      <c r="B924">
        <v>4.5321212289281397E-2</v>
      </c>
      <c r="C924" s="5">
        <f t="shared" si="14"/>
        <v>7.1498229936250324E-2</v>
      </c>
      <c r="D924">
        <v>1406406547.1182599</v>
      </c>
      <c r="E924">
        <v>250469497.77167201</v>
      </c>
    </row>
    <row r="925" spans="1:5" x14ac:dyDescent="0.25">
      <c r="A925" t="s">
        <v>954</v>
      </c>
      <c r="B925">
        <v>4.6261317942675802E-2</v>
      </c>
      <c r="C925" s="5">
        <f t="shared" si="14"/>
        <v>2.0743170932714383E-2</v>
      </c>
      <c r="D925">
        <v>1438680078.4268401</v>
      </c>
      <c r="E925">
        <v>258539530.391155</v>
      </c>
    </row>
    <row r="926" spans="1:5" x14ac:dyDescent="0.25">
      <c r="A926" t="s">
        <v>955</v>
      </c>
      <c r="B926">
        <v>4.6834189090093299E-2</v>
      </c>
      <c r="C926" s="5">
        <f t="shared" si="14"/>
        <v>1.2383372824080974E-2</v>
      </c>
      <c r="D926">
        <v>1455268758.2068</v>
      </c>
      <c r="E926">
        <v>206025566.52261901</v>
      </c>
    </row>
    <row r="927" spans="1:5" x14ac:dyDescent="0.25">
      <c r="A927" t="s">
        <v>956</v>
      </c>
      <c r="B927">
        <v>5.14800462702086E-2</v>
      </c>
      <c r="C927" s="5">
        <f t="shared" si="14"/>
        <v>9.9197984856281618E-2</v>
      </c>
      <c r="D927">
        <v>1598493713.60746</v>
      </c>
      <c r="E927">
        <v>350212135.00092202</v>
      </c>
    </row>
    <row r="928" spans="1:5" x14ac:dyDescent="0.25">
      <c r="A928" t="s">
        <v>957</v>
      </c>
      <c r="B928">
        <v>4.8008344969066703E-2</v>
      </c>
      <c r="C928" s="5">
        <f t="shared" si="14"/>
        <v>-6.743780459946791E-2</v>
      </c>
      <c r="D928">
        <v>1509035250.6731999</v>
      </c>
      <c r="E928">
        <v>396920531.18405002</v>
      </c>
    </row>
    <row r="929" spans="1:5" x14ac:dyDescent="0.25">
      <c r="A929" t="s">
        <v>958</v>
      </c>
      <c r="B929">
        <v>5.0066837336214497E-2</v>
      </c>
      <c r="C929" s="5">
        <f t="shared" si="14"/>
        <v>4.2877803191802233E-2</v>
      </c>
      <c r="D929">
        <v>1564928493.7499199</v>
      </c>
      <c r="E929">
        <v>213075526.71171999</v>
      </c>
    </row>
    <row r="930" spans="1:5" x14ac:dyDescent="0.25">
      <c r="A930" t="s">
        <v>959</v>
      </c>
      <c r="B930">
        <v>5.09440710636129E-2</v>
      </c>
      <c r="C930" s="5">
        <f t="shared" si="14"/>
        <v>1.7521253070320819E-2</v>
      </c>
      <c r="D930">
        <v>1584170530.4296501</v>
      </c>
      <c r="E930">
        <v>169289444.96704701</v>
      </c>
    </row>
    <row r="931" spans="1:5" x14ac:dyDescent="0.25">
      <c r="A931" t="s">
        <v>960</v>
      </c>
      <c r="B931">
        <v>4.9620875210238898E-2</v>
      </c>
      <c r="C931" s="5">
        <f t="shared" si="14"/>
        <v>-2.5973500463316923E-2</v>
      </c>
      <c r="D931">
        <v>1543247891.9871099</v>
      </c>
      <c r="E931">
        <v>184667536.37086099</v>
      </c>
    </row>
    <row r="932" spans="1:5" x14ac:dyDescent="0.25">
      <c r="A932" t="s">
        <v>961</v>
      </c>
      <c r="B932">
        <v>4.93305629841293E-2</v>
      </c>
      <c r="C932" s="5">
        <f t="shared" si="14"/>
        <v>-5.8506067230691405E-3</v>
      </c>
      <c r="D932">
        <v>1527729042.7245901</v>
      </c>
      <c r="E932">
        <v>219399163.48202899</v>
      </c>
    </row>
    <row r="933" spans="1:5" x14ac:dyDescent="0.25">
      <c r="A933" t="s">
        <v>962</v>
      </c>
      <c r="B933">
        <v>4.9433544436262702E-2</v>
      </c>
      <c r="C933" s="5">
        <f t="shared" si="14"/>
        <v>2.087579097091119E-3</v>
      </c>
      <c r="D933">
        <v>1533996522.16695</v>
      </c>
      <c r="E933">
        <v>170783705.19716799</v>
      </c>
    </row>
    <row r="934" spans="1:5" x14ac:dyDescent="0.25">
      <c r="A934" t="s">
        <v>963</v>
      </c>
      <c r="B934">
        <v>4.9848709941183303E-2</v>
      </c>
      <c r="C934" s="5">
        <f t="shared" si="14"/>
        <v>8.3984571540463016E-3</v>
      </c>
      <c r="D934">
        <v>1560725267.55339</v>
      </c>
      <c r="E934">
        <v>170062853.54415199</v>
      </c>
    </row>
    <row r="935" spans="1:5" x14ac:dyDescent="0.25">
      <c r="A935" t="s">
        <v>964</v>
      </c>
      <c r="B935">
        <v>5.1670277219292703E-2</v>
      </c>
      <c r="C935" s="5">
        <f t="shared" si="14"/>
        <v>3.6541914128944919E-2</v>
      </c>
      <c r="D935">
        <v>1610767596.8941901</v>
      </c>
      <c r="E935">
        <v>191858931.87592301</v>
      </c>
    </row>
    <row r="936" spans="1:5" x14ac:dyDescent="0.25">
      <c r="A936" t="s">
        <v>965</v>
      </c>
      <c r="B936">
        <v>5.1289723792858601E-2</v>
      </c>
      <c r="C936" s="5">
        <f t="shared" si="14"/>
        <v>-7.3650355081124053E-3</v>
      </c>
      <c r="D936">
        <v>1602956355.83166</v>
      </c>
      <c r="E936">
        <v>218227143.14994901</v>
      </c>
    </row>
    <row r="937" spans="1:5" x14ac:dyDescent="0.25">
      <c r="A937" t="s">
        <v>966</v>
      </c>
      <c r="B937">
        <v>5.1110669967212898E-2</v>
      </c>
      <c r="C937" s="5">
        <f t="shared" si="14"/>
        <v>-3.4910272936707898E-3</v>
      </c>
      <c r="D937">
        <v>1594290128.9509001</v>
      </c>
      <c r="E937">
        <v>184494302.322788</v>
      </c>
    </row>
    <row r="938" spans="1:5" x14ac:dyDescent="0.25">
      <c r="A938" t="s">
        <v>967</v>
      </c>
      <c r="B938">
        <v>4.7632324091746697E-2</v>
      </c>
      <c r="C938" s="5">
        <f t="shared" si="14"/>
        <v>-6.805518060509741E-2</v>
      </c>
      <c r="D938">
        <v>1484807886.22698</v>
      </c>
      <c r="E938">
        <v>278084415.50314701</v>
      </c>
    </row>
    <row r="939" spans="1:5" x14ac:dyDescent="0.25">
      <c r="A939" t="s">
        <v>968</v>
      </c>
      <c r="B939">
        <v>4.7783578849167299E-2</v>
      </c>
      <c r="C939" s="5">
        <f t="shared" si="14"/>
        <v>3.1754645674912929E-3</v>
      </c>
      <c r="D939">
        <v>1488233874.6538899</v>
      </c>
      <c r="E939">
        <v>252481674.090271</v>
      </c>
    </row>
    <row r="940" spans="1:5" x14ac:dyDescent="0.25">
      <c r="A940" t="s">
        <v>969</v>
      </c>
      <c r="B940">
        <v>4.9860140037832401E-2</v>
      </c>
      <c r="C940" s="5">
        <f t="shared" si="14"/>
        <v>4.3457632071049579E-2</v>
      </c>
      <c r="D940">
        <v>1547574497.7140999</v>
      </c>
      <c r="E940">
        <v>215164699.561737</v>
      </c>
    </row>
    <row r="941" spans="1:5" x14ac:dyDescent="0.25">
      <c r="A941" t="s">
        <v>970</v>
      </c>
      <c r="B941">
        <v>5.1907338645302101E-2</v>
      </c>
      <c r="C941" s="5">
        <f t="shared" si="14"/>
        <v>4.1058821854819127E-2</v>
      </c>
      <c r="D941">
        <v>1611195935.6755199</v>
      </c>
      <c r="E941">
        <v>187868068.47322601</v>
      </c>
    </row>
    <row r="942" spans="1:5" x14ac:dyDescent="0.25">
      <c r="A942" t="s">
        <v>971</v>
      </c>
      <c r="B942">
        <v>5.2328977386751102E-2</v>
      </c>
      <c r="C942" s="5">
        <f t="shared" si="14"/>
        <v>8.1229119514329984E-3</v>
      </c>
      <c r="D942">
        <v>1622873217.2971001</v>
      </c>
      <c r="E942">
        <v>151357757.557356</v>
      </c>
    </row>
    <row r="943" spans="1:5" x14ac:dyDescent="0.25">
      <c r="A943" t="s">
        <v>972</v>
      </c>
      <c r="B943">
        <v>4.9655916235533303E-2</v>
      </c>
      <c r="C943" s="5">
        <f t="shared" si="14"/>
        <v>-5.1081853395716803E-2</v>
      </c>
      <c r="D943">
        <v>1545526669.7898099</v>
      </c>
      <c r="E943">
        <v>139782173.015196</v>
      </c>
    </row>
    <row r="944" spans="1:5" x14ac:dyDescent="0.25">
      <c r="A944" t="s">
        <v>973</v>
      </c>
      <c r="B944">
        <v>5.07895549037422E-2</v>
      </c>
      <c r="C944" s="5">
        <f t="shared" si="14"/>
        <v>2.2829881193445312E-2</v>
      </c>
      <c r="D944">
        <v>1580302434.7444899</v>
      </c>
      <c r="E944">
        <v>126071103.869463</v>
      </c>
    </row>
    <row r="945" spans="1:5" x14ac:dyDescent="0.25">
      <c r="A945" t="s">
        <v>974</v>
      </c>
      <c r="B945">
        <v>5.1874033349081798E-2</v>
      </c>
      <c r="C945" s="5">
        <f t="shared" si="14"/>
        <v>2.135239120317034E-2</v>
      </c>
      <c r="D945">
        <v>1613996775.9795001</v>
      </c>
      <c r="E945">
        <v>115579145.646551</v>
      </c>
    </row>
    <row r="946" spans="1:5" x14ac:dyDescent="0.25">
      <c r="A946" t="s">
        <v>975</v>
      </c>
      <c r="B946">
        <v>5.3301651796851E-2</v>
      </c>
      <c r="C946" s="5">
        <f t="shared" si="14"/>
        <v>2.7520868449965485E-2</v>
      </c>
      <c r="D946">
        <v>1656590740.96298</v>
      </c>
      <c r="E946">
        <v>185350802.40665501</v>
      </c>
    </row>
    <row r="947" spans="1:5" x14ac:dyDescent="0.25">
      <c r="A947" t="s">
        <v>976</v>
      </c>
      <c r="B947">
        <v>5.5955048441400999E-2</v>
      </c>
      <c r="C947" s="5">
        <f t="shared" si="14"/>
        <v>4.9780758289872606E-2</v>
      </c>
      <c r="D947">
        <v>1739159666.9690199</v>
      </c>
      <c r="E947">
        <v>187764434.93610799</v>
      </c>
    </row>
    <row r="948" spans="1:5" x14ac:dyDescent="0.25">
      <c r="A948" t="s">
        <v>977</v>
      </c>
      <c r="B948">
        <v>5.6296411557788903E-2</v>
      </c>
      <c r="C948" s="5">
        <f t="shared" si="14"/>
        <v>6.1006669799490432E-3</v>
      </c>
      <c r="D948">
        <v>1751521240.2165999</v>
      </c>
      <c r="E948">
        <v>202446637.71215099</v>
      </c>
    </row>
    <row r="949" spans="1:5" x14ac:dyDescent="0.25">
      <c r="A949" t="s">
        <v>978</v>
      </c>
      <c r="B949">
        <v>5.25560504132929E-2</v>
      </c>
      <c r="C949" s="5">
        <f t="shared" si="14"/>
        <v>-6.6440489562225147E-2</v>
      </c>
      <c r="D949">
        <v>1639420156.4212699</v>
      </c>
      <c r="E949">
        <v>232919935.62272999</v>
      </c>
    </row>
    <row r="950" spans="1:5" x14ac:dyDescent="0.25">
      <c r="A950" t="s">
        <v>979</v>
      </c>
      <c r="B950">
        <v>5.4580986723135501E-2</v>
      </c>
      <c r="C950" s="5">
        <f t="shared" si="14"/>
        <v>3.8529080741775745E-2</v>
      </c>
      <c r="D950">
        <v>1698293632.3563199</v>
      </c>
      <c r="E950">
        <v>185615336.25988701</v>
      </c>
    </row>
    <row r="951" spans="1:5" x14ac:dyDescent="0.25">
      <c r="A951" t="s">
        <v>980</v>
      </c>
      <c r="B951">
        <v>5.50289777816724E-2</v>
      </c>
      <c r="C951" s="5">
        <f t="shared" si="14"/>
        <v>8.2078226399489029E-3</v>
      </c>
      <c r="D951">
        <v>1714880556.60585</v>
      </c>
      <c r="E951">
        <v>127428419.325404</v>
      </c>
    </row>
    <row r="952" spans="1:5" x14ac:dyDescent="0.25">
      <c r="A952" t="s">
        <v>981</v>
      </c>
      <c r="B952">
        <v>5.1658134334648602E-2</v>
      </c>
      <c r="C952" s="5">
        <f t="shared" si="14"/>
        <v>-6.1255788911755316E-2</v>
      </c>
      <c r="D952">
        <v>1615330815.83565</v>
      </c>
      <c r="E952">
        <v>105461558.657821</v>
      </c>
    </row>
    <row r="953" spans="1:5" x14ac:dyDescent="0.25">
      <c r="A953" t="s">
        <v>982</v>
      </c>
      <c r="B953">
        <v>5.3459122381694403E-2</v>
      </c>
      <c r="C953" s="5">
        <f t="shared" si="14"/>
        <v>3.4863590608571915E-2</v>
      </c>
      <c r="D953">
        <v>1662876283.19698</v>
      </c>
      <c r="E953">
        <v>181811841.108318</v>
      </c>
    </row>
    <row r="954" spans="1:5" x14ac:dyDescent="0.25">
      <c r="A954" t="s">
        <v>983</v>
      </c>
      <c r="B954">
        <v>5.3489647699239598E-2</v>
      </c>
      <c r="C954" s="5">
        <f t="shared" si="14"/>
        <v>5.7100296797329975E-4</v>
      </c>
      <c r="D954">
        <v>1660213375.3463399</v>
      </c>
      <c r="E954">
        <v>161611425.73718601</v>
      </c>
    </row>
    <row r="955" spans="1:5" x14ac:dyDescent="0.25">
      <c r="A955" t="s">
        <v>984</v>
      </c>
      <c r="B955">
        <v>5.5131897979285999E-2</v>
      </c>
      <c r="C955" s="5">
        <f t="shared" si="14"/>
        <v>3.0702207823098959E-2</v>
      </c>
      <c r="D955">
        <v>1716081188.5154901</v>
      </c>
      <c r="E955">
        <v>189893992.98905301</v>
      </c>
    </row>
    <row r="956" spans="1:5" x14ac:dyDescent="0.25">
      <c r="A956" t="s">
        <v>985</v>
      </c>
      <c r="B956">
        <v>6.3181703846994106E-2</v>
      </c>
      <c r="C956" s="5">
        <f t="shared" si="14"/>
        <v>0.14600995363396629</v>
      </c>
      <c r="D956">
        <v>1965480006.5936899</v>
      </c>
      <c r="E956">
        <v>372917376.394849</v>
      </c>
    </row>
    <row r="957" spans="1:5" x14ac:dyDescent="0.25">
      <c r="A957" t="s">
        <v>986</v>
      </c>
      <c r="B957">
        <v>6.4406270904875398E-2</v>
      </c>
      <c r="C957" s="5">
        <f t="shared" si="14"/>
        <v>1.9381671960712055E-2</v>
      </c>
      <c r="D957">
        <v>2009870099.47914</v>
      </c>
      <c r="E957">
        <v>416498091.001414</v>
      </c>
    </row>
    <row r="958" spans="1:5" x14ac:dyDescent="0.25">
      <c r="A958" t="s">
        <v>987</v>
      </c>
      <c r="B958">
        <v>7.5151739118556798E-2</v>
      </c>
      <c r="C958" s="5">
        <f t="shared" si="14"/>
        <v>0.16683885066955484</v>
      </c>
      <c r="D958">
        <v>2349213951.9981899</v>
      </c>
      <c r="E958">
        <v>608232672.45728302</v>
      </c>
    </row>
    <row r="959" spans="1:5" x14ac:dyDescent="0.25">
      <c r="A959" t="s">
        <v>988</v>
      </c>
      <c r="B959">
        <v>7.4450570487242601E-2</v>
      </c>
      <c r="C959" s="5">
        <f t="shared" si="14"/>
        <v>-9.3300386596251172E-3</v>
      </c>
      <c r="D959">
        <v>2293903473.1582699</v>
      </c>
      <c r="E959">
        <v>890049224.23528302</v>
      </c>
    </row>
    <row r="960" spans="1:5" x14ac:dyDescent="0.25">
      <c r="A960" t="s">
        <v>989</v>
      </c>
      <c r="B960">
        <v>8.07648188667561E-2</v>
      </c>
      <c r="C960" s="5">
        <f t="shared" si="14"/>
        <v>8.4811282683125544E-2</v>
      </c>
      <c r="D960">
        <v>2512794186.9289198</v>
      </c>
      <c r="E960">
        <v>721638304.95155704</v>
      </c>
    </row>
    <row r="961" spans="1:5" x14ac:dyDescent="0.25">
      <c r="A961" t="s">
        <v>990</v>
      </c>
      <c r="B961">
        <v>7.8459641903261199E-2</v>
      </c>
      <c r="C961" s="5">
        <f t="shared" si="14"/>
        <v>-2.8541845271737976E-2</v>
      </c>
      <c r="D961">
        <v>2441074404.0458698</v>
      </c>
      <c r="E961">
        <v>609498641.15415895</v>
      </c>
    </row>
    <row r="962" spans="1:5" x14ac:dyDescent="0.25">
      <c r="A962" t="s">
        <v>991</v>
      </c>
      <c r="B962">
        <v>8.4601756654374596E-2</v>
      </c>
      <c r="C962" s="5">
        <f t="shared" si="14"/>
        <v>7.8283746931785414E-2</v>
      </c>
      <c r="D962">
        <v>2627991676.9404502</v>
      </c>
      <c r="E962">
        <v>591308386.11601102</v>
      </c>
    </row>
    <row r="963" spans="1:5" x14ac:dyDescent="0.25">
      <c r="A963" t="s">
        <v>992</v>
      </c>
      <c r="B963">
        <v>8.7593181654486096E-2</v>
      </c>
      <c r="C963" s="5">
        <f t="shared" si="14"/>
        <v>3.5358899370522945E-2</v>
      </c>
      <c r="D963">
        <v>2717552835.0861602</v>
      </c>
      <c r="E963">
        <v>523154541.01132601</v>
      </c>
    </row>
    <row r="964" spans="1:5" x14ac:dyDescent="0.25">
      <c r="A964" t="s">
        <v>993</v>
      </c>
      <c r="B964">
        <v>8.5218980200868794E-2</v>
      </c>
      <c r="C964" s="5">
        <f t="shared" ref="C964:C1027" si="15">B964/B963-1</f>
        <v>-2.7104866026929075E-2</v>
      </c>
      <c r="D964">
        <v>2651374213.0473099</v>
      </c>
      <c r="E964">
        <v>409862454.04093403</v>
      </c>
    </row>
    <row r="965" spans="1:5" x14ac:dyDescent="0.25">
      <c r="A965" t="s">
        <v>994</v>
      </c>
      <c r="B965">
        <v>8.6176353773169206E-2</v>
      </c>
      <c r="C965" s="5">
        <f t="shared" si="15"/>
        <v>1.1234276331913318E-2</v>
      </c>
      <c r="D965">
        <v>2681160483.6159902</v>
      </c>
      <c r="E965">
        <v>269293377.52688998</v>
      </c>
    </row>
    <row r="966" spans="1:5" x14ac:dyDescent="0.25">
      <c r="A966" t="s">
        <v>995</v>
      </c>
      <c r="B966">
        <v>8.6404042045509305E-2</v>
      </c>
      <c r="C966" s="5">
        <f t="shared" si="15"/>
        <v>2.6421200523221167E-3</v>
      </c>
      <c r="D966">
        <v>2675984488.5436702</v>
      </c>
      <c r="E966">
        <v>373943526.84931099</v>
      </c>
    </row>
    <row r="967" spans="1:5" x14ac:dyDescent="0.25">
      <c r="A967" t="s">
        <v>996</v>
      </c>
      <c r="B967">
        <v>8.6458668682126399E-2</v>
      </c>
      <c r="C967" s="5">
        <f t="shared" si="15"/>
        <v>6.3222316136934964E-4</v>
      </c>
      <c r="D967">
        <v>2689772252.6651301</v>
      </c>
      <c r="E967">
        <v>280640845.23745501</v>
      </c>
    </row>
    <row r="968" spans="1:5" x14ac:dyDescent="0.25">
      <c r="A968" t="s">
        <v>997</v>
      </c>
      <c r="B968">
        <v>8.3127071963181295E-2</v>
      </c>
      <c r="C968" s="5">
        <f t="shared" si="15"/>
        <v>-3.8533981262122374E-2</v>
      </c>
      <c r="D968">
        <v>2591936050.9222398</v>
      </c>
      <c r="E968">
        <v>278434928.63797599</v>
      </c>
    </row>
    <row r="969" spans="1:5" x14ac:dyDescent="0.25">
      <c r="A969" t="s">
        <v>998</v>
      </c>
      <c r="B969">
        <v>8.3570722061804201E-2</v>
      </c>
      <c r="C969" s="5">
        <f t="shared" si="15"/>
        <v>5.3370110139259186E-3</v>
      </c>
      <c r="D969">
        <v>2595603409.8916702</v>
      </c>
      <c r="E969">
        <v>400552079.72221202</v>
      </c>
    </row>
    <row r="970" spans="1:5" x14ac:dyDescent="0.25">
      <c r="A970" t="s">
        <v>999</v>
      </c>
      <c r="B970">
        <v>7.5477951999850995E-2</v>
      </c>
      <c r="C970" s="5">
        <f t="shared" si="15"/>
        <v>-9.6837383503378671E-2</v>
      </c>
      <c r="D970">
        <v>2342819639.6444802</v>
      </c>
      <c r="E970">
        <v>392139007.570158</v>
      </c>
    </row>
    <row r="971" spans="1:5" x14ac:dyDescent="0.25">
      <c r="A971" t="s">
        <v>1000</v>
      </c>
      <c r="B971">
        <v>7.9414305950456607E-2</v>
      </c>
      <c r="C971" s="5">
        <f t="shared" si="15"/>
        <v>5.215236829178127E-2</v>
      </c>
      <c r="D971">
        <v>2466658231.3144302</v>
      </c>
      <c r="E971">
        <v>316486518.03738099</v>
      </c>
    </row>
    <row r="972" spans="1:5" x14ac:dyDescent="0.25">
      <c r="A972" t="s">
        <v>1001</v>
      </c>
      <c r="B972">
        <v>7.8961918451385393E-2</v>
      </c>
      <c r="C972" s="5">
        <f t="shared" si="15"/>
        <v>-5.6965491753266928E-3</v>
      </c>
      <c r="D972">
        <v>2443676758.6163802</v>
      </c>
      <c r="E972">
        <v>230572695.569594</v>
      </c>
    </row>
    <row r="973" spans="1:5" x14ac:dyDescent="0.25">
      <c r="A973" t="s">
        <v>1002</v>
      </c>
      <c r="B973">
        <v>7.6496848968225895E-2</v>
      </c>
      <c r="C973" s="5">
        <f t="shared" si="15"/>
        <v>-3.1218459879203353E-2</v>
      </c>
      <c r="D973">
        <v>2380268832.0011601</v>
      </c>
      <c r="E973">
        <v>197636305.95442599</v>
      </c>
    </row>
    <row r="974" spans="1:5" x14ac:dyDescent="0.25">
      <c r="A974" t="s">
        <v>1003</v>
      </c>
      <c r="B974">
        <v>7.8264637544948196E-2</v>
      </c>
      <c r="C974" s="5">
        <f t="shared" si="15"/>
        <v>2.3109299279197471E-2</v>
      </c>
      <c r="D974">
        <v>2446394196.7281699</v>
      </c>
      <c r="E974">
        <v>388081290.112849</v>
      </c>
    </row>
    <row r="975" spans="1:5" x14ac:dyDescent="0.25">
      <c r="A975" t="s">
        <v>1004</v>
      </c>
      <c r="B975">
        <v>7.8943696941199099E-2</v>
      </c>
      <c r="C975" s="5">
        <f t="shared" si="15"/>
        <v>8.6764523231952495E-3</v>
      </c>
      <c r="D975">
        <v>2454979752.69379</v>
      </c>
      <c r="E975">
        <v>289705109.809834</v>
      </c>
    </row>
    <row r="976" spans="1:5" x14ac:dyDescent="0.25">
      <c r="A976" t="s">
        <v>1005</v>
      </c>
      <c r="B976">
        <v>8.33565563029465E-2</v>
      </c>
      <c r="C976" s="5">
        <f t="shared" si="15"/>
        <v>5.5898818179674237E-2</v>
      </c>
      <c r="D976">
        <v>2593429578.1188502</v>
      </c>
      <c r="E976">
        <v>359419229.514678</v>
      </c>
    </row>
    <row r="977" spans="1:5" x14ac:dyDescent="0.25">
      <c r="A977" t="s">
        <v>1006</v>
      </c>
      <c r="B977">
        <v>8.2059136801566998E-2</v>
      </c>
      <c r="C977" s="5">
        <f t="shared" si="15"/>
        <v>-1.5564696514863585E-2</v>
      </c>
      <c r="D977">
        <v>2556673302.3713799</v>
      </c>
      <c r="E977">
        <v>307344572.75563002</v>
      </c>
    </row>
    <row r="978" spans="1:5" x14ac:dyDescent="0.25">
      <c r="A978" t="s">
        <v>1007</v>
      </c>
      <c r="B978">
        <v>7.9767383790901703E-2</v>
      </c>
      <c r="C978" s="5">
        <f t="shared" si="15"/>
        <v>-2.7928066270147878E-2</v>
      </c>
      <c r="D978">
        <v>2478607966.5899901</v>
      </c>
      <c r="E978">
        <v>270047826.89984399</v>
      </c>
    </row>
    <row r="979" spans="1:5" x14ac:dyDescent="0.25">
      <c r="A979" t="s">
        <v>1008</v>
      </c>
      <c r="B979">
        <v>7.9353606764096196E-2</v>
      </c>
      <c r="C979" s="5">
        <f t="shared" si="15"/>
        <v>-5.1872959490580905E-3</v>
      </c>
      <c r="D979">
        <v>2467040605.7434802</v>
      </c>
      <c r="E979">
        <v>230329244.57024699</v>
      </c>
    </row>
    <row r="980" spans="1:5" x14ac:dyDescent="0.25">
      <c r="A980" t="s">
        <v>1009</v>
      </c>
      <c r="B980">
        <v>7.8341016980161604E-2</v>
      </c>
      <c r="C980" s="5">
        <f t="shared" si="15"/>
        <v>-1.2760475865260079E-2</v>
      </c>
      <c r="D980">
        <v>2436971270.88796</v>
      </c>
      <c r="E980">
        <v>224072749.58957601</v>
      </c>
    </row>
    <row r="981" spans="1:5" x14ac:dyDescent="0.25">
      <c r="A981" t="s">
        <v>1010</v>
      </c>
      <c r="B981">
        <v>8.3609344635847502E-2</v>
      </c>
      <c r="C981" s="5">
        <f t="shared" si="15"/>
        <v>6.7248650308177726E-2</v>
      </c>
      <c r="D981">
        <v>2603822156.6133499</v>
      </c>
      <c r="E981">
        <v>273172323.000314</v>
      </c>
    </row>
    <row r="982" spans="1:5" x14ac:dyDescent="0.25">
      <c r="A982" t="s">
        <v>1011</v>
      </c>
      <c r="B982">
        <v>8.2764962544147599E-2</v>
      </c>
      <c r="C982" s="5">
        <f t="shared" si="15"/>
        <v>-1.0099135394225689E-2</v>
      </c>
      <c r="D982">
        <v>2572303251.5686998</v>
      </c>
      <c r="E982">
        <v>246206144.07135099</v>
      </c>
    </row>
    <row r="983" spans="1:5" x14ac:dyDescent="0.25">
      <c r="A983" t="s">
        <v>1012</v>
      </c>
      <c r="B983">
        <v>8.2502486278919804E-2</v>
      </c>
      <c r="C983" s="5">
        <f t="shared" si="15"/>
        <v>-3.1713451823021099E-3</v>
      </c>
      <c r="D983">
        <v>2573306719.7848101</v>
      </c>
      <c r="E983">
        <v>371569603.934856</v>
      </c>
    </row>
    <row r="984" spans="1:5" x14ac:dyDescent="0.25">
      <c r="A984" t="s">
        <v>1013</v>
      </c>
      <c r="B984">
        <v>8.1623441533457297E-2</v>
      </c>
      <c r="C984" s="5">
        <f t="shared" si="15"/>
        <v>-1.0654766724128573E-2</v>
      </c>
      <c r="D984">
        <v>2540498716.54702</v>
      </c>
      <c r="E984">
        <v>269825228.46888101</v>
      </c>
    </row>
    <row r="985" spans="1:5" x14ac:dyDescent="0.25">
      <c r="A985" t="s">
        <v>1014</v>
      </c>
      <c r="B985">
        <v>8.0632902673818299E-2</v>
      </c>
      <c r="C985" s="5">
        <f t="shared" si="15"/>
        <v>-1.2135470411805405E-2</v>
      </c>
      <c r="D985">
        <v>2509415525.22224</v>
      </c>
      <c r="E985">
        <v>233820453.33095101</v>
      </c>
    </row>
    <row r="986" spans="1:5" x14ac:dyDescent="0.25">
      <c r="A986" t="s">
        <v>1015</v>
      </c>
      <c r="B986">
        <v>7.7454772406050407E-2</v>
      </c>
      <c r="C986" s="5">
        <f t="shared" si="15"/>
        <v>-3.9414806640711952E-2</v>
      </c>
      <c r="D986">
        <v>2411643666.4273801</v>
      </c>
      <c r="E986">
        <v>219669559.82550901</v>
      </c>
    </row>
    <row r="987" spans="1:5" x14ac:dyDescent="0.25">
      <c r="A987" t="s">
        <v>1016</v>
      </c>
      <c r="B987">
        <v>8.0320490746770001E-2</v>
      </c>
      <c r="C987" s="5">
        <f t="shared" si="15"/>
        <v>3.6998602561199245E-2</v>
      </c>
      <c r="D987">
        <v>2494920752.54986</v>
      </c>
      <c r="E987">
        <v>264994501.71835101</v>
      </c>
    </row>
    <row r="988" spans="1:5" x14ac:dyDescent="0.25">
      <c r="A988" t="s">
        <v>1017</v>
      </c>
      <c r="B988">
        <v>8.3778237344170406E-2</v>
      </c>
      <c r="C988" s="5">
        <f t="shared" si="15"/>
        <v>4.3049370904640005E-2</v>
      </c>
      <c r="D988">
        <v>2605637535.7718501</v>
      </c>
      <c r="E988">
        <v>342564753.22262698</v>
      </c>
    </row>
    <row r="989" spans="1:5" x14ac:dyDescent="0.25">
      <c r="A989" t="s">
        <v>1018</v>
      </c>
      <c r="B989">
        <v>8.3107697318929696E-2</v>
      </c>
      <c r="C989" s="5">
        <f t="shared" si="15"/>
        <v>-8.0037494998379533E-3</v>
      </c>
      <c r="D989">
        <v>2585686956.7996101</v>
      </c>
      <c r="E989">
        <v>267609405.34645799</v>
      </c>
    </row>
    <row r="990" spans="1:5" x14ac:dyDescent="0.25">
      <c r="A990" t="s">
        <v>1019</v>
      </c>
      <c r="B990">
        <v>9.6098825829633597E-2</v>
      </c>
      <c r="C990" s="5">
        <f t="shared" si="15"/>
        <v>0.15631679049955904</v>
      </c>
      <c r="D990">
        <v>2989873243.1230998</v>
      </c>
      <c r="E990">
        <v>499091138.29028398</v>
      </c>
    </row>
    <row r="991" spans="1:5" x14ac:dyDescent="0.25">
      <c r="A991" t="s">
        <v>1020</v>
      </c>
      <c r="B991">
        <v>9.3248663682318794E-2</v>
      </c>
      <c r="C991" s="5">
        <f t="shared" si="15"/>
        <v>-2.9658657353084039E-2</v>
      </c>
      <c r="D991">
        <v>2900999074.9025102</v>
      </c>
      <c r="E991">
        <v>491140919.58798498</v>
      </c>
    </row>
    <row r="992" spans="1:5" x14ac:dyDescent="0.25">
      <c r="A992" t="s">
        <v>1021</v>
      </c>
      <c r="B992">
        <v>9.6275433719273898E-2</v>
      </c>
      <c r="C992" s="5">
        <f t="shared" si="15"/>
        <v>3.2459125068716954E-2</v>
      </c>
      <c r="D992">
        <v>2993888384.7179899</v>
      </c>
      <c r="E992">
        <v>526680394.654737</v>
      </c>
    </row>
    <row r="993" spans="1:5" x14ac:dyDescent="0.25">
      <c r="A993" t="s">
        <v>1022</v>
      </c>
      <c r="B993">
        <v>9.9693799930523797E-2</v>
      </c>
      <c r="C993" s="5">
        <f t="shared" si="15"/>
        <v>3.5506110740746166E-2</v>
      </c>
      <c r="D993">
        <v>3095933297.1856298</v>
      </c>
      <c r="E993">
        <v>400371435.833417</v>
      </c>
    </row>
    <row r="994" spans="1:5" x14ac:dyDescent="0.25">
      <c r="A994" t="s">
        <v>1023</v>
      </c>
      <c r="B994">
        <v>9.8325631284537293E-2</v>
      </c>
      <c r="C994" s="5">
        <f t="shared" si="15"/>
        <v>-1.3723708464718709E-2</v>
      </c>
      <c r="D994">
        <v>3059154693.6484199</v>
      </c>
      <c r="E994">
        <v>346363919.196567</v>
      </c>
    </row>
    <row r="995" spans="1:5" x14ac:dyDescent="0.25">
      <c r="A995" t="s">
        <v>1024</v>
      </c>
      <c r="B995">
        <v>0.105303508362607</v>
      </c>
      <c r="C995" s="5">
        <f t="shared" si="15"/>
        <v>7.0967020368035483E-2</v>
      </c>
      <c r="D995">
        <v>3259049437.1500401</v>
      </c>
      <c r="E995">
        <v>436788456.69410998</v>
      </c>
    </row>
    <row r="996" spans="1:5" x14ac:dyDescent="0.25">
      <c r="A996" t="s">
        <v>1025</v>
      </c>
      <c r="B996">
        <v>0.117608449450103</v>
      </c>
      <c r="C996" s="5">
        <f t="shared" si="15"/>
        <v>0.11685214746240535</v>
      </c>
      <c r="D996">
        <v>3654326777.0840302</v>
      </c>
      <c r="E996">
        <v>679767221.40249097</v>
      </c>
    </row>
    <row r="997" spans="1:5" x14ac:dyDescent="0.25">
      <c r="A997" t="s">
        <v>1026</v>
      </c>
      <c r="B997">
        <v>0.129880411053866</v>
      </c>
      <c r="C997" s="5">
        <f t="shared" si="15"/>
        <v>0.10434591784129887</v>
      </c>
      <c r="D997">
        <v>4047779024.6123099</v>
      </c>
      <c r="E997">
        <v>1307477330.2469699</v>
      </c>
    </row>
    <row r="998" spans="1:5" x14ac:dyDescent="0.25">
      <c r="A998" t="s">
        <v>1027</v>
      </c>
      <c r="B998">
        <v>0.123941929547802</v>
      </c>
      <c r="C998" s="5">
        <f t="shared" si="15"/>
        <v>-4.5722687954853236E-2</v>
      </c>
      <c r="D998">
        <v>3851949196.3499799</v>
      </c>
      <c r="E998">
        <v>782809685.25878596</v>
      </c>
    </row>
    <row r="999" spans="1:5" x14ac:dyDescent="0.25">
      <c r="A999" t="s">
        <v>1028</v>
      </c>
      <c r="B999">
        <v>0.11844083928628001</v>
      </c>
      <c r="C999" s="5">
        <f t="shared" si="15"/>
        <v>-4.4384416811909744E-2</v>
      </c>
      <c r="D999">
        <v>3686816739.9358101</v>
      </c>
      <c r="E999">
        <v>631945552.28107798</v>
      </c>
    </row>
    <row r="1000" spans="1:5" x14ac:dyDescent="0.25">
      <c r="A1000" t="s">
        <v>1029</v>
      </c>
      <c r="B1000">
        <v>0.12542533761849101</v>
      </c>
      <c r="C1000" s="5">
        <f t="shared" si="15"/>
        <v>5.8970354940908187E-2</v>
      </c>
      <c r="D1000">
        <v>3902938565.7681098</v>
      </c>
      <c r="E1000">
        <v>510001724.34463298</v>
      </c>
    </row>
    <row r="1001" spans="1:5" x14ac:dyDescent="0.25">
      <c r="A1001" t="s">
        <v>1030</v>
      </c>
      <c r="B1001">
        <v>0.12687837344342401</v>
      </c>
      <c r="C1001" s="5">
        <f t="shared" si="15"/>
        <v>1.1584866762350154E-2</v>
      </c>
      <c r="D1001">
        <v>3940493164.5851598</v>
      </c>
      <c r="E1001">
        <v>464305800.57238603</v>
      </c>
    </row>
    <row r="1002" spans="1:5" x14ac:dyDescent="0.25">
      <c r="A1002" t="s">
        <v>1031</v>
      </c>
      <c r="B1002">
        <v>0.124288340214633</v>
      </c>
      <c r="C1002" s="5">
        <f t="shared" si="15"/>
        <v>-2.0413512236156728E-2</v>
      </c>
      <c r="D1002">
        <v>3860263067.8755102</v>
      </c>
      <c r="E1002">
        <v>675300170.16154599</v>
      </c>
    </row>
    <row r="1003" spans="1:5" x14ac:dyDescent="0.25">
      <c r="A1003" t="s">
        <v>1032</v>
      </c>
      <c r="B1003">
        <v>0.13208128069379901</v>
      </c>
      <c r="C1003" s="5">
        <f t="shared" si="15"/>
        <v>6.2700495200985085E-2</v>
      </c>
      <c r="D1003">
        <v>4109376817.6098599</v>
      </c>
      <c r="E1003">
        <v>567252700.23352301</v>
      </c>
    </row>
    <row r="1004" spans="1:5" x14ac:dyDescent="0.25">
      <c r="A1004" t="s">
        <v>1033</v>
      </c>
      <c r="B1004">
        <v>0.13044721590639399</v>
      </c>
      <c r="C1004" s="5">
        <f t="shared" si="15"/>
        <v>-1.237166068364548E-2</v>
      </c>
      <c r="D1004">
        <v>4058537002.0011501</v>
      </c>
      <c r="E1004">
        <v>410697605.82639098</v>
      </c>
    </row>
    <row r="1005" spans="1:5" x14ac:dyDescent="0.25">
      <c r="A1005" t="s">
        <v>1034</v>
      </c>
      <c r="B1005">
        <v>0.125974590856302</v>
      </c>
      <c r="C1005" s="5">
        <f t="shared" si="15"/>
        <v>-3.4286857093994594E-2</v>
      </c>
      <c r="D1005">
        <v>3922040766.8077402</v>
      </c>
      <c r="E1005">
        <v>543327338.958933</v>
      </c>
    </row>
    <row r="1006" spans="1:5" x14ac:dyDescent="0.25">
      <c r="A1006" t="s">
        <v>1035</v>
      </c>
      <c r="B1006">
        <v>0.12261975823084401</v>
      </c>
      <c r="C1006" s="5">
        <f t="shared" si="15"/>
        <v>-2.6631026166894389E-2</v>
      </c>
      <c r="D1006">
        <v>3815026554.4500499</v>
      </c>
      <c r="E1006">
        <v>332328276.11354798</v>
      </c>
    </row>
    <row r="1007" spans="1:5" x14ac:dyDescent="0.25">
      <c r="A1007" t="s">
        <v>1036</v>
      </c>
      <c r="B1007">
        <v>0.122635028187114</v>
      </c>
      <c r="C1007" s="5">
        <f t="shared" si="15"/>
        <v>1.2453096051001644E-4</v>
      </c>
      <c r="D1007">
        <v>3816714933.1763401</v>
      </c>
      <c r="E1007">
        <v>314371025.114941</v>
      </c>
    </row>
    <row r="1008" spans="1:5" x14ac:dyDescent="0.25">
      <c r="A1008" t="s">
        <v>1037</v>
      </c>
      <c r="B1008">
        <v>0.12398989746577301</v>
      </c>
      <c r="C1008" s="5">
        <f t="shared" si="15"/>
        <v>1.1047979510321992E-2</v>
      </c>
      <c r="D1008">
        <v>3863193163.4451799</v>
      </c>
      <c r="E1008">
        <v>308373230.99211001</v>
      </c>
    </row>
    <row r="1009" spans="1:5" x14ac:dyDescent="0.25">
      <c r="A1009" t="s">
        <v>1038</v>
      </c>
      <c r="B1009">
        <v>0.117853947751224</v>
      </c>
      <c r="C1009" s="5">
        <f t="shared" si="15"/>
        <v>-4.9487497287775462E-2</v>
      </c>
      <c r="D1009">
        <v>3663508639.9793501</v>
      </c>
      <c r="E1009">
        <v>306182004.66044497</v>
      </c>
    </row>
    <row r="1010" spans="1:5" x14ac:dyDescent="0.25">
      <c r="A1010" t="s">
        <v>1039</v>
      </c>
      <c r="B1010">
        <v>0.122952355274352</v>
      </c>
      <c r="C1010" s="5">
        <f t="shared" si="15"/>
        <v>4.3260388136425743E-2</v>
      </c>
      <c r="D1010">
        <v>3820997387.1409502</v>
      </c>
      <c r="E1010">
        <v>339573227.75766301</v>
      </c>
    </row>
    <row r="1011" spans="1:5" x14ac:dyDescent="0.25">
      <c r="A1011" t="s">
        <v>1040</v>
      </c>
      <c r="B1011">
        <v>0.12378277594395901</v>
      </c>
      <c r="C1011" s="5">
        <f t="shared" si="15"/>
        <v>6.7540037582365375E-3</v>
      </c>
      <c r="D1011">
        <v>3853629978.65979</v>
      </c>
      <c r="E1011">
        <v>244764116.64935499</v>
      </c>
    </row>
    <row r="1012" spans="1:5" x14ac:dyDescent="0.25">
      <c r="A1012" t="s">
        <v>1041</v>
      </c>
      <c r="B1012">
        <v>0.124055300091273</v>
      </c>
      <c r="C1012" s="5">
        <f t="shared" si="15"/>
        <v>2.2016322160796076E-3</v>
      </c>
      <c r="D1012">
        <v>3859668619.3446698</v>
      </c>
      <c r="E1012">
        <v>297997215.64012301</v>
      </c>
    </row>
    <row r="1013" spans="1:5" x14ac:dyDescent="0.25">
      <c r="A1013" t="s">
        <v>1042</v>
      </c>
      <c r="B1013">
        <v>0.12196350601214</v>
      </c>
      <c r="C1013" s="5">
        <f t="shared" si="15"/>
        <v>-1.6861787264179529E-2</v>
      </c>
      <c r="D1013">
        <v>3795362719.2269201</v>
      </c>
      <c r="E1013">
        <v>287737557.75966299</v>
      </c>
    </row>
    <row r="1014" spans="1:5" x14ac:dyDescent="0.25">
      <c r="A1014" t="s">
        <v>1043</v>
      </c>
      <c r="B1014">
        <v>0.14336838253068701</v>
      </c>
      <c r="C1014" s="5">
        <f t="shared" si="15"/>
        <v>0.17550230571771541</v>
      </c>
      <c r="D1014">
        <v>4470685732.4949999</v>
      </c>
      <c r="E1014">
        <v>686218774.35650098</v>
      </c>
    </row>
    <row r="1015" spans="1:5" x14ac:dyDescent="0.25">
      <c r="A1015" t="s">
        <v>1044</v>
      </c>
      <c r="B1015">
        <v>0.148355946346232</v>
      </c>
      <c r="C1015" s="5">
        <f t="shared" si="15"/>
        <v>3.4788450057860132E-2</v>
      </c>
      <c r="D1015">
        <v>4627376307.4373598</v>
      </c>
      <c r="E1015">
        <v>844199808.75949204</v>
      </c>
    </row>
    <row r="1016" spans="1:5" x14ac:dyDescent="0.25">
      <c r="A1016" t="s">
        <v>1045</v>
      </c>
      <c r="B1016">
        <v>0.13793351401607101</v>
      </c>
      <c r="C1016" s="5">
        <f t="shared" si="15"/>
        <v>-7.0252878882503311E-2</v>
      </c>
      <c r="D1016">
        <v>4286659873.6729102</v>
      </c>
      <c r="E1016">
        <v>873873656.54995799</v>
      </c>
    </row>
    <row r="1017" spans="1:5" x14ac:dyDescent="0.25">
      <c r="A1017" t="s">
        <v>1046</v>
      </c>
      <c r="B1017">
        <v>0.14825503834148299</v>
      </c>
      <c r="C1017" s="5">
        <f t="shared" si="15"/>
        <v>7.4829706174305066E-2</v>
      </c>
      <c r="D1017">
        <v>4603937359.1008797</v>
      </c>
      <c r="E1017">
        <v>696233206.70604396</v>
      </c>
    </row>
    <row r="1018" spans="1:5" x14ac:dyDescent="0.25">
      <c r="A1018" t="s">
        <v>1047</v>
      </c>
      <c r="B1018">
        <v>0.13964887973262399</v>
      </c>
      <c r="C1018" s="5">
        <f t="shared" si="15"/>
        <v>-5.8049687249319692E-2</v>
      </c>
      <c r="D1018">
        <v>4338588502.7034502</v>
      </c>
      <c r="E1018">
        <v>506618734.70375001</v>
      </c>
    </row>
    <row r="1019" spans="1:5" x14ac:dyDescent="0.25">
      <c r="A1019" t="s">
        <v>1048</v>
      </c>
      <c r="B1019">
        <v>0.140899540002414</v>
      </c>
      <c r="C1019" s="5">
        <f t="shared" si="15"/>
        <v>8.9557486761409066E-3</v>
      </c>
      <c r="D1019">
        <v>4394189964.5767097</v>
      </c>
      <c r="E1019">
        <v>333709527.124147</v>
      </c>
    </row>
    <row r="1020" spans="1:5" x14ac:dyDescent="0.25">
      <c r="A1020" t="s">
        <v>1049</v>
      </c>
      <c r="B1020">
        <v>0.13914532295246501</v>
      </c>
      <c r="C1020" s="5">
        <f t="shared" si="15"/>
        <v>-1.245012616733121E-2</v>
      </c>
      <c r="D1020">
        <v>4329088644.2342997</v>
      </c>
      <c r="E1020">
        <v>291750874.01714802</v>
      </c>
    </row>
    <row r="1021" spans="1:5" x14ac:dyDescent="0.25">
      <c r="A1021" t="s">
        <v>1050</v>
      </c>
      <c r="B1021">
        <v>0.14481025934661701</v>
      </c>
      <c r="C1021" s="5">
        <f t="shared" si="15"/>
        <v>4.0712373753929665E-2</v>
      </c>
      <c r="D1021">
        <v>4529471957.0197096</v>
      </c>
      <c r="E1021">
        <v>438971971.081411</v>
      </c>
    </row>
    <row r="1022" spans="1:5" x14ac:dyDescent="0.25">
      <c r="A1022" t="s">
        <v>1051</v>
      </c>
      <c r="B1022">
        <v>0.13373233004057899</v>
      </c>
      <c r="C1022" s="5">
        <f t="shared" si="15"/>
        <v>-7.6499616505222523E-2</v>
      </c>
      <c r="D1022">
        <v>4156096583.6743798</v>
      </c>
      <c r="E1022">
        <v>457580728.09997702</v>
      </c>
    </row>
    <row r="1023" spans="1:5" x14ac:dyDescent="0.25">
      <c r="A1023" t="s">
        <v>1052</v>
      </c>
      <c r="B1023">
        <v>0.13701513906207</v>
      </c>
      <c r="C1023" s="5">
        <f t="shared" si="15"/>
        <v>2.4547609545835902E-2</v>
      </c>
      <c r="D1023">
        <v>4248409546.8712802</v>
      </c>
      <c r="E1023">
        <v>312669927.45773202</v>
      </c>
    </row>
    <row r="1024" spans="1:5" x14ac:dyDescent="0.25">
      <c r="A1024" t="s">
        <v>1053</v>
      </c>
      <c r="B1024">
        <v>0.14276359830409299</v>
      </c>
      <c r="C1024" s="5">
        <f t="shared" si="15"/>
        <v>4.195492032029291E-2</v>
      </c>
      <c r="D1024">
        <v>4454678918.0543404</v>
      </c>
      <c r="E1024">
        <v>439624545.425134</v>
      </c>
    </row>
    <row r="1025" spans="1:5" x14ac:dyDescent="0.25">
      <c r="A1025" t="s">
        <v>1054</v>
      </c>
      <c r="B1025">
        <v>0.14254911094068601</v>
      </c>
      <c r="C1025" s="5">
        <f t="shared" si="15"/>
        <v>-1.5023953301465109E-3</v>
      </c>
      <c r="D1025">
        <v>4435057025.4430399</v>
      </c>
      <c r="E1025">
        <v>346798168.78215599</v>
      </c>
    </row>
    <row r="1026" spans="1:5" x14ac:dyDescent="0.25">
      <c r="A1026" t="s">
        <v>1055</v>
      </c>
      <c r="B1026">
        <v>0.14383027638674301</v>
      </c>
      <c r="C1026" s="5">
        <f t="shared" si="15"/>
        <v>8.9875372606853521E-3</v>
      </c>
      <c r="D1026">
        <v>4463508629.8059597</v>
      </c>
      <c r="E1026">
        <v>362682786.14677399</v>
      </c>
    </row>
    <row r="1027" spans="1:5" x14ac:dyDescent="0.25">
      <c r="A1027" t="s">
        <v>1056</v>
      </c>
      <c r="B1027">
        <v>0.138645028063279</v>
      </c>
      <c r="C1027" s="5">
        <f t="shared" si="15"/>
        <v>-3.6051160115422975E-2</v>
      </c>
      <c r="D1027">
        <v>4327356442.5908003</v>
      </c>
      <c r="E1027">
        <v>801492250.00135899</v>
      </c>
    </row>
    <row r="1028" spans="1:5" x14ac:dyDescent="0.25">
      <c r="A1028" t="s">
        <v>1057</v>
      </c>
      <c r="B1028">
        <v>0.14572113584329599</v>
      </c>
      <c r="C1028" s="5">
        <f t="shared" ref="C1028:C1091" si="16">B1028/B1027-1</f>
        <v>5.1037587707706278E-2</v>
      </c>
      <c r="D1028">
        <v>4530579889.7696304</v>
      </c>
      <c r="E1028">
        <v>404731743.47179002</v>
      </c>
    </row>
    <row r="1029" spans="1:5" x14ac:dyDescent="0.25">
      <c r="A1029" t="s">
        <v>1058</v>
      </c>
      <c r="B1029">
        <v>0.144901664887469</v>
      </c>
      <c r="C1029" s="5">
        <f t="shared" si="16"/>
        <v>-5.623555917847245E-3</v>
      </c>
      <c r="D1029">
        <v>4508250823.9912395</v>
      </c>
      <c r="E1029">
        <v>612633435.10842204</v>
      </c>
    </row>
    <row r="1030" spans="1:5" x14ac:dyDescent="0.25">
      <c r="A1030" t="s">
        <v>1059</v>
      </c>
      <c r="B1030">
        <v>0.14330600013150199</v>
      </c>
      <c r="C1030" s="5">
        <f t="shared" si="16"/>
        <v>-1.1012052602751066E-2</v>
      </c>
      <c r="D1030">
        <v>4459057584.4331198</v>
      </c>
      <c r="E1030">
        <v>588680543.93627</v>
      </c>
    </row>
    <row r="1031" spans="1:5" x14ac:dyDescent="0.25">
      <c r="A1031" t="s">
        <v>1060</v>
      </c>
      <c r="B1031">
        <v>0.13709153191550899</v>
      </c>
      <c r="C1031" s="5">
        <f t="shared" si="16"/>
        <v>-4.3365024564850141E-2</v>
      </c>
      <c r="D1031">
        <v>4273617992.5690799</v>
      </c>
      <c r="E1031">
        <v>832571102.32647896</v>
      </c>
    </row>
    <row r="1032" spans="1:5" x14ac:dyDescent="0.25">
      <c r="A1032" t="s">
        <v>1061</v>
      </c>
      <c r="B1032">
        <v>0.136541372409961</v>
      </c>
      <c r="C1032" s="5">
        <f t="shared" si="16"/>
        <v>-4.0130816094976485E-3</v>
      </c>
      <c r="D1032">
        <v>4248207279.3764</v>
      </c>
      <c r="E1032">
        <v>412298624.76100999</v>
      </c>
    </row>
    <row r="1033" spans="1:5" x14ac:dyDescent="0.25">
      <c r="A1033" t="s">
        <v>1062</v>
      </c>
      <c r="B1033">
        <v>0.139344301365529</v>
      </c>
      <c r="C1033" s="5">
        <f t="shared" si="16"/>
        <v>2.0528056120252547E-2</v>
      </c>
      <c r="D1033">
        <v>4324827540.3320398</v>
      </c>
      <c r="E1033">
        <v>429550504.600685</v>
      </c>
    </row>
    <row r="1034" spans="1:5" x14ac:dyDescent="0.25">
      <c r="A1034" t="s">
        <v>1063</v>
      </c>
      <c r="B1034">
        <v>0.13825948705473901</v>
      </c>
      <c r="C1034" s="5">
        <f t="shared" si="16"/>
        <v>-7.7851358122231762E-3</v>
      </c>
      <c r="D1034">
        <v>4301596168.1544104</v>
      </c>
      <c r="E1034">
        <v>458978629.78861398</v>
      </c>
    </row>
    <row r="1035" spans="1:5" x14ac:dyDescent="0.25">
      <c r="A1035" t="s">
        <v>1064</v>
      </c>
      <c r="B1035">
        <v>0.13823721599011299</v>
      </c>
      <c r="C1035" s="5">
        <f t="shared" si="16"/>
        <v>-1.6108163787120766E-4</v>
      </c>
      <c r="D1035">
        <v>4293392018.4127898</v>
      </c>
      <c r="E1035">
        <v>454859334.045955</v>
      </c>
    </row>
    <row r="1036" spans="1:5" x14ac:dyDescent="0.25">
      <c r="A1036" t="s">
        <v>1065</v>
      </c>
      <c r="B1036">
        <v>0.138768809829766</v>
      </c>
      <c r="C1036" s="5">
        <f t="shared" si="16"/>
        <v>3.845518993170538E-3</v>
      </c>
      <c r="D1036">
        <v>4317442465.1722898</v>
      </c>
      <c r="E1036">
        <v>412928069.042036</v>
      </c>
    </row>
    <row r="1037" spans="1:5" x14ac:dyDescent="0.25">
      <c r="A1037" t="s">
        <v>1066</v>
      </c>
      <c r="B1037">
        <v>0.14066093296166499</v>
      </c>
      <c r="C1037" s="5">
        <f t="shared" si="16"/>
        <v>1.3635075015921316E-2</v>
      </c>
      <c r="D1037">
        <v>4373590696.6120596</v>
      </c>
      <c r="E1037">
        <v>550014396.06235003</v>
      </c>
    </row>
    <row r="1038" spans="1:5" x14ac:dyDescent="0.25">
      <c r="A1038" t="s">
        <v>1067</v>
      </c>
      <c r="B1038">
        <v>0.137026465734229</v>
      </c>
      <c r="C1038" s="5">
        <f t="shared" si="16"/>
        <v>-2.5838497946167549E-2</v>
      </c>
      <c r="D1038">
        <v>4251110381.6482</v>
      </c>
      <c r="E1038">
        <v>489748686.65121698</v>
      </c>
    </row>
    <row r="1039" spans="1:5" x14ac:dyDescent="0.25">
      <c r="A1039" t="s">
        <v>1068</v>
      </c>
      <c r="B1039">
        <v>0.12943229880582199</v>
      </c>
      <c r="C1039" s="5">
        <f t="shared" si="16"/>
        <v>-5.5421169098357592E-2</v>
      </c>
      <c r="D1039">
        <v>4031820062.1498199</v>
      </c>
      <c r="E1039">
        <v>490727213.11368698</v>
      </c>
    </row>
    <row r="1040" spans="1:5" x14ac:dyDescent="0.25">
      <c r="A1040" t="s">
        <v>1069</v>
      </c>
      <c r="B1040">
        <v>0.134202558176609</v>
      </c>
      <c r="C1040" s="5">
        <f t="shared" si="16"/>
        <v>3.6855247220351828E-2</v>
      </c>
      <c r="D1040">
        <v>4121466418.8211899</v>
      </c>
      <c r="E1040">
        <v>410697982.49858803</v>
      </c>
    </row>
    <row r="1041" spans="1:5" x14ac:dyDescent="0.25">
      <c r="A1041" t="s">
        <v>1070</v>
      </c>
      <c r="B1041">
        <v>0.122617198477652</v>
      </c>
      <c r="C1041" s="5">
        <f t="shared" si="16"/>
        <v>-8.6327413250281038E-2</v>
      </c>
      <c r="D1041">
        <v>3804306212.9732599</v>
      </c>
      <c r="E1041">
        <v>472861750.93887597</v>
      </c>
    </row>
    <row r="1042" spans="1:5" x14ac:dyDescent="0.25">
      <c r="A1042" t="s">
        <v>1071</v>
      </c>
      <c r="B1042">
        <v>0.12531555685950399</v>
      </c>
      <c r="C1042" s="5">
        <f t="shared" si="16"/>
        <v>2.2006361386113227E-2</v>
      </c>
      <c r="D1042">
        <v>3895011240.5014</v>
      </c>
      <c r="E1042">
        <v>436863558.43138301</v>
      </c>
    </row>
    <row r="1043" spans="1:5" x14ac:dyDescent="0.25">
      <c r="A1043" t="s">
        <v>1072</v>
      </c>
      <c r="B1043">
        <v>0.121608881581067</v>
      </c>
      <c r="C1043" s="5">
        <f t="shared" si="16"/>
        <v>-2.9578732053137546E-2</v>
      </c>
      <c r="D1043">
        <v>3785715669.0181499</v>
      </c>
      <c r="E1043">
        <v>393530785.77747703</v>
      </c>
    </row>
    <row r="1044" spans="1:5" x14ac:dyDescent="0.25">
      <c r="A1044" t="s">
        <v>1073</v>
      </c>
      <c r="B1044">
        <v>0.123692546959585</v>
      </c>
      <c r="C1044" s="5">
        <f t="shared" si="16"/>
        <v>1.7134154606372132E-2</v>
      </c>
      <c r="D1044">
        <v>3855071339.4373899</v>
      </c>
      <c r="E1044">
        <v>406394741.184156</v>
      </c>
    </row>
    <row r="1045" spans="1:5" x14ac:dyDescent="0.25">
      <c r="A1045" t="s">
        <v>1074</v>
      </c>
      <c r="B1045">
        <v>0.112631098343649</v>
      </c>
      <c r="C1045" s="5">
        <f t="shared" si="16"/>
        <v>-8.9426961347559564E-2</v>
      </c>
      <c r="D1045">
        <v>3504233317.8789001</v>
      </c>
      <c r="E1045">
        <v>498886621.43977398</v>
      </c>
    </row>
    <row r="1046" spans="1:5" x14ac:dyDescent="0.25">
      <c r="A1046" t="s">
        <v>1075</v>
      </c>
      <c r="B1046">
        <v>0.114460614043614</v>
      </c>
      <c r="C1046" s="5">
        <f t="shared" si="16"/>
        <v>1.624343300269504E-2</v>
      </c>
      <c r="D1046">
        <v>3561449684.1430101</v>
      </c>
      <c r="E1046">
        <v>448522382.03382498</v>
      </c>
    </row>
    <row r="1047" spans="1:5" x14ac:dyDescent="0.25">
      <c r="A1047" t="s">
        <v>1076</v>
      </c>
      <c r="B1047">
        <v>0.106835963062653</v>
      </c>
      <c r="C1047" s="5">
        <f t="shared" si="16"/>
        <v>-6.6613752203493415E-2</v>
      </c>
      <c r="D1047">
        <v>3318730028.1353102</v>
      </c>
      <c r="E1047">
        <v>445998081.72096699</v>
      </c>
    </row>
    <row r="1048" spans="1:5" x14ac:dyDescent="0.25">
      <c r="A1048" t="s">
        <v>1077</v>
      </c>
      <c r="B1048">
        <v>0.109212665084209</v>
      </c>
      <c r="C1048" s="5">
        <f t="shared" si="16"/>
        <v>2.2246273196996569E-2</v>
      </c>
      <c r="D1048">
        <v>3399180375.1325898</v>
      </c>
      <c r="E1048">
        <v>372495384.205715</v>
      </c>
    </row>
    <row r="1049" spans="1:5" x14ac:dyDescent="0.25">
      <c r="A1049" t="s">
        <v>1078</v>
      </c>
      <c r="B1049">
        <v>0.116604223659526</v>
      </c>
      <c r="C1049" s="5">
        <f t="shared" si="16"/>
        <v>6.7680415724840071E-2</v>
      </c>
      <c r="D1049">
        <v>3627847118.26578</v>
      </c>
      <c r="E1049">
        <v>361328837.39647102</v>
      </c>
    </row>
    <row r="1050" spans="1:5" x14ac:dyDescent="0.25">
      <c r="A1050" t="s">
        <v>1079</v>
      </c>
      <c r="B1050">
        <v>0.117207766002383</v>
      </c>
      <c r="C1050" s="5">
        <f t="shared" si="16"/>
        <v>5.1759904051100758E-3</v>
      </c>
      <c r="D1050">
        <v>3644289688.9773898</v>
      </c>
      <c r="E1050">
        <v>380535420.59532702</v>
      </c>
    </row>
    <row r="1051" spans="1:5" x14ac:dyDescent="0.25">
      <c r="A1051" t="s">
        <v>1080</v>
      </c>
      <c r="B1051">
        <v>0.122139670547454</v>
      </c>
      <c r="C1051" s="5">
        <f t="shared" si="16"/>
        <v>4.2078308573603618E-2</v>
      </c>
      <c r="D1051">
        <v>3800068624.57517</v>
      </c>
      <c r="E1051">
        <v>462276340.22597498</v>
      </c>
    </row>
    <row r="1052" spans="1:5" x14ac:dyDescent="0.25">
      <c r="A1052" t="s">
        <v>1081</v>
      </c>
      <c r="B1052">
        <v>0.124456254029296</v>
      </c>
      <c r="C1052" s="5">
        <f t="shared" si="16"/>
        <v>1.8966675376301589E-2</v>
      </c>
      <c r="D1052">
        <v>3897283726.8503399</v>
      </c>
      <c r="E1052">
        <v>492424473.286955</v>
      </c>
    </row>
    <row r="1053" spans="1:5" x14ac:dyDescent="0.25">
      <c r="A1053" t="s">
        <v>1082</v>
      </c>
      <c r="B1053">
        <v>0.115493446836698</v>
      </c>
      <c r="C1053" s="5">
        <f t="shared" si="16"/>
        <v>-7.2015723617137151E-2</v>
      </c>
      <c r="D1053">
        <v>3592445420.1361198</v>
      </c>
      <c r="E1053">
        <v>403602179.370552</v>
      </c>
    </row>
    <row r="1054" spans="1:5" x14ac:dyDescent="0.25">
      <c r="A1054" t="s">
        <v>1083</v>
      </c>
      <c r="B1054">
        <v>9.5058795669394194E-2</v>
      </c>
      <c r="C1054" s="5">
        <f t="shared" si="16"/>
        <v>-0.17693342546263591</v>
      </c>
      <c r="D1054">
        <v>2964196395.4695101</v>
      </c>
      <c r="E1054">
        <v>447179060.00669301</v>
      </c>
    </row>
    <row r="1055" spans="1:5" x14ac:dyDescent="0.25">
      <c r="A1055" t="s">
        <v>1084</v>
      </c>
      <c r="B1055">
        <v>0.103134679483999</v>
      </c>
      <c r="C1055" s="5">
        <f t="shared" si="16"/>
        <v>8.4956723444004068E-2</v>
      </c>
      <c r="D1055">
        <v>3212415575.1961899</v>
      </c>
      <c r="E1055">
        <v>432365099.040452</v>
      </c>
    </row>
    <row r="1056" spans="1:5" x14ac:dyDescent="0.25">
      <c r="A1056" t="s">
        <v>1085</v>
      </c>
      <c r="B1056">
        <v>9.0438160750034094E-2</v>
      </c>
      <c r="C1056" s="5">
        <f t="shared" si="16"/>
        <v>-0.12310620246737403</v>
      </c>
      <c r="D1056">
        <v>2813755887.74791</v>
      </c>
      <c r="E1056">
        <v>316776337.67474598</v>
      </c>
    </row>
    <row r="1057" spans="1:5" x14ac:dyDescent="0.25">
      <c r="A1057" t="s">
        <v>1086</v>
      </c>
      <c r="B1057">
        <v>9.2969282255958505E-2</v>
      </c>
      <c r="C1057" s="5">
        <f t="shared" si="16"/>
        <v>2.7987317355118391E-2</v>
      </c>
      <c r="D1057">
        <v>2892505366.7381501</v>
      </c>
      <c r="E1057">
        <v>333667094.66473001</v>
      </c>
    </row>
    <row r="1058" spans="1:5" x14ac:dyDescent="0.25">
      <c r="A1058" t="s">
        <v>1087</v>
      </c>
      <c r="B1058">
        <v>9.3173875129339001E-2</v>
      </c>
      <c r="C1058" s="5">
        <f t="shared" si="16"/>
        <v>2.2006502407667661E-3</v>
      </c>
      <c r="D1058">
        <v>2899784537.5109301</v>
      </c>
      <c r="E1058">
        <v>322785626.06581801</v>
      </c>
    </row>
    <row r="1059" spans="1:5" x14ac:dyDescent="0.25">
      <c r="A1059" t="s">
        <v>1088</v>
      </c>
      <c r="B1059">
        <v>9.1256036389911796E-2</v>
      </c>
      <c r="C1059" s="5">
        <f t="shared" si="16"/>
        <v>-2.0583438616940231E-2</v>
      </c>
      <c r="D1059">
        <v>2834060081.1788998</v>
      </c>
      <c r="E1059">
        <v>513444901.658427</v>
      </c>
    </row>
    <row r="1060" spans="1:5" x14ac:dyDescent="0.25">
      <c r="A1060" t="s">
        <v>1089</v>
      </c>
      <c r="B1060">
        <v>9.3253091551801004E-2</v>
      </c>
      <c r="C1060" s="5">
        <f t="shared" si="16"/>
        <v>2.1884088339716445E-2</v>
      </c>
      <c r="D1060">
        <v>2900610470.1965799</v>
      </c>
      <c r="E1060">
        <v>522884301.89235997</v>
      </c>
    </row>
    <row r="1061" spans="1:5" x14ac:dyDescent="0.25">
      <c r="A1061" t="s">
        <v>1090</v>
      </c>
      <c r="B1061">
        <v>9.7060450158661604E-2</v>
      </c>
      <c r="C1061" s="5">
        <f t="shared" si="16"/>
        <v>4.0828229321980825E-2</v>
      </c>
      <c r="D1061">
        <v>3017276701.54564</v>
      </c>
      <c r="E1061">
        <v>673573014.18548501</v>
      </c>
    </row>
    <row r="1062" spans="1:5" x14ac:dyDescent="0.25">
      <c r="A1062" t="s">
        <v>1091</v>
      </c>
      <c r="B1062">
        <v>9.6917050749140393E-2</v>
      </c>
      <c r="C1062" s="5">
        <f t="shared" si="16"/>
        <v>-1.4774237012789015E-3</v>
      </c>
      <c r="D1062">
        <v>3021670767.4658198</v>
      </c>
      <c r="E1062">
        <v>658363819.70563805</v>
      </c>
    </row>
    <row r="1063" spans="1:5" x14ac:dyDescent="0.25">
      <c r="A1063" t="s">
        <v>1092</v>
      </c>
      <c r="B1063">
        <v>9.7661003386126405E-2</v>
      </c>
      <c r="C1063" s="5">
        <f t="shared" si="16"/>
        <v>7.6761790751520564E-3</v>
      </c>
      <c r="D1063">
        <v>3035646274.9266901</v>
      </c>
      <c r="E1063">
        <v>616070407.822909</v>
      </c>
    </row>
    <row r="1064" spans="1:5" x14ac:dyDescent="0.25">
      <c r="A1064" t="s">
        <v>1093</v>
      </c>
      <c r="B1064">
        <v>9.5019206224655997E-2</v>
      </c>
      <c r="C1064" s="5">
        <f t="shared" si="16"/>
        <v>-2.7050686250124079E-2</v>
      </c>
      <c r="D1064">
        <v>2958040571.6542702</v>
      </c>
      <c r="E1064">
        <v>640311191.92505002</v>
      </c>
    </row>
    <row r="1065" spans="1:5" x14ac:dyDescent="0.25">
      <c r="A1065" t="s">
        <v>1094</v>
      </c>
      <c r="B1065">
        <v>9.6864446567201307E-2</v>
      </c>
      <c r="C1065" s="5">
        <f t="shared" si="16"/>
        <v>1.9419656465899715E-2</v>
      </c>
      <c r="D1065">
        <v>3009809612.9768701</v>
      </c>
      <c r="E1065">
        <v>734506817.170807</v>
      </c>
    </row>
    <row r="1066" spans="1:5" x14ac:dyDescent="0.25">
      <c r="A1066" t="s">
        <v>1095</v>
      </c>
      <c r="B1066">
        <v>9.3398151412279806E-2</v>
      </c>
      <c r="C1066" s="5">
        <f t="shared" si="16"/>
        <v>-3.5785009647649191E-2</v>
      </c>
      <c r="D1066">
        <v>2907122714.2202301</v>
      </c>
      <c r="E1066">
        <v>678077442.77737105</v>
      </c>
    </row>
    <row r="1067" spans="1:5" x14ac:dyDescent="0.25">
      <c r="A1067" t="s">
        <v>1096</v>
      </c>
      <c r="B1067">
        <v>9.1294711514182905E-2</v>
      </c>
      <c r="C1067" s="5">
        <f t="shared" si="16"/>
        <v>-2.2521215530400207E-2</v>
      </c>
      <c r="D1067">
        <v>2842675715.25776</v>
      </c>
      <c r="E1067">
        <v>681410813.86790895</v>
      </c>
    </row>
    <row r="1068" spans="1:5" x14ac:dyDescent="0.25">
      <c r="A1068" t="s">
        <v>1097</v>
      </c>
      <c r="B1068">
        <v>9.4035978623352598E-2</v>
      </c>
      <c r="C1068" s="5">
        <f t="shared" si="16"/>
        <v>3.0026570692912813E-2</v>
      </c>
      <c r="D1068">
        <v>2926254190.2876601</v>
      </c>
      <c r="E1068">
        <v>655152123.78625202</v>
      </c>
    </row>
    <row r="1069" spans="1:5" x14ac:dyDescent="0.25">
      <c r="A1069" t="s">
        <v>1098</v>
      </c>
      <c r="B1069">
        <v>9.0861063670433506E-2</v>
      </c>
      <c r="C1069" s="5">
        <f t="shared" si="16"/>
        <v>-3.3762768244649743E-2</v>
      </c>
      <c r="D1069">
        <v>2816775563.13516</v>
      </c>
      <c r="E1069">
        <v>585526141.40503502</v>
      </c>
    </row>
    <row r="1070" spans="1:5" x14ac:dyDescent="0.25">
      <c r="A1070" t="s">
        <v>1099</v>
      </c>
      <c r="B1070">
        <v>9.1567762017698395E-2</v>
      </c>
      <c r="C1070" s="5">
        <f t="shared" si="16"/>
        <v>7.7777908238911841E-3</v>
      </c>
      <c r="D1070">
        <v>2849152837.3740101</v>
      </c>
      <c r="E1070">
        <v>551088156.83357596</v>
      </c>
    </row>
    <row r="1071" spans="1:5" x14ac:dyDescent="0.25">
      <c r="A1071" t="s">
        <v>1100</v>
      </c>
      <c r="B1071">
        <v>8.9246044264537902E-2</v>
      </c>
      <c r="C1071" s="5">
        <f t="shared" si="16"/>
        <v>-2.5355187262431356E-2</v>
      </c>
      <c r="D1071">
        <v>2788163196.0504699</v>
      </c>
      <c r="E1071">
        <v>560728729.51059306</v>
      </c>
    </row>
    <row r="1072" spans="1:5" x14ac:dyDescent="0.25">
      <c r="A1072" t="s">
        <v>1101</v>
      </c>
      <c r="B1072">
        <v>8.0366950059520395E-2</v>
      </c>
      <c r="C1072" s="5">
        <f t="shared" si="16"/>
        <v>-9.9490058950944871E-2</v>
      </c>
      <c r="D1072">
        <v>2513123717.74051</v>
      </c>
      <c r="E1072">
        <v>504270732.83377302</v>
      </c>
    </row>
    <row r="1073" spans="1:5" x14ac:dyDescent="0.25">
      <c r="A1073" t="s">
        <v>1102</v>
      </c>
      <c r="B1073">
        <v>8.1443097517411897E-2</v>
      </c>
      <c r="C1073" s="5">
        <f t="shared" si="16"/>
        <v>1.3390423017104691E-2</v>
      </c>
      <c r="D1073">
        <v>2528466247.7737002</v>
      </c>
      <c r="E1073">
        <v>359254513.48018801</v>
      </c>
    </row>
    <row r="1074" spans="1:5" x14ac:dyDescent="0.25">
      <c r="A1074" t="s">
        <v>1103</v>
      </c>
      <c r="B1074">
        <v>7.6627718234678094E-2</v>
      </c>
      <c r="C1074" s="5">
        <f t="shared" si="16"/>
        <v>-5.912568934039264E-2</v>
      </c>
      <c r="D1074">
        <v>2387518228.7759199</v>
      </c>
      <c r="E1074">
        <v>339256966.554609</v>
      </c>
    </row>
    <row r="1075" spans="1:5" x14ac:dyDescent="0.25">
      <c r="A1075" t="s">
        <v>1104</v>
      </c>
      <c r="B1075">
        <v>8.2606692211751903E-2</v>
      </c>
      <c r="C1075" s="5">
        <f t="shared" si="16"/>
        <v>7.8026256227058166E-2</v>
      </c>
      <c r="D1075">
        <v>2577652813.89288</v>
      </c>
      <c r="E1075">
        <v>404377685.794958</v>
      </c>
    </row>
    <row r="1076" spans="1:5" x14ac:dyDescent="0.25">
      <c r="A1076" t="s">
        <v>1105</v>
      </c>
      <c r="B1076">
        <v>9.6791129416536795E-2</v>
      </c>
      <c r="C1076" s="5">
        <f t="shared" si="16"/>
        <v>0.17171050946362643</v>
      </c>
      <c r="D1076">
        <v>2988519166.6092501</v>
      </c>
      <c r="E1076">
        <v>591858440.46417999</v>
      </c>
    </row>
    <row r="1077" spans="1:5" x14ac:dyDescent="0.25">
      <c r="A1077" t="s">
        <v>1106</v>
      </c>
      <c r="B1077">
        <v>9.5735096619825794E-2</v>
      </c>
      <c r="C1077" s="5">
        <f t="shared" si="16"/>
        <v>-1.0910429530855081E-2</v>
      </c>
      <c r="D1077">
        <v>2980675759.2437801</v>
      </c>
      <c r="E1077">
        <v>444216426.15245801</v>
      </c>
    </row>
    <row r="1078" spans="1:5" x14ac:dyDescent="0.25">
      <c r="A1078" t="s">
        <v>1107</v>
      </c>
      <c r="B1078">
        <v>0.10135192845254901</v>
      </c>
      <c r="C1078" s="5">
        <f t="shared" si="16"/>
        <v>5.8670561069450233E-2</v>
      </c>
      <c r="D1078">
        <v>3144513591.45894</v>
      </c>
      <c r="E1078">
        <v>483494711.896658</v>
      </c>
    </row>
    <row r="1079" spans="1:5" x14ac:dyDescent="0.25">
      <c r="A1079" t="s">
        <v>1108</v>
      </c>
      <c r="B1079">
        <v>0.100103504758509</v>
      </c>
      <c r="C1079" s="5">
        <f t="shared" si="16"/>
        <v>-1.2317710310016383E-2</v>
      </c>
      <c r="D1079">
        <v>3120734575.1350002</v>
      </c>
      <c r="E1079">
        <v>518815539.502626</v>
      </c>
    </row>
    <row r="1080" spans="1:5" x14ac:dyDescent="0.25">
      <c r="A1080" t="s">
        <v>1109</v>
      </c>
      <c r="B1080">
        <v>0.101270708019671</v>
      </c>
      <c r="C1080" s="5">
        <f t="shared" si="16"/>
        <v>1.1659963994045786E-2</v>
      </c>
      <c r="D1080">
        <v>3152600659.3929801</v>
      </c>
      <c r="E1080">
        <v>483215932.46241897</v>
      </c>
    </row>
    <row r="1081" spans="1:5" x14ac:dyDescent="0.25">
      <c r="A1081" t="s">
        <v>1110</v>
      </c>
      <c r="B1081">
        <v>0.101040546439984</v>
      </c>
      <c r="C1081" s="5">
        <f t="shared" si="16"/>
        <v>-2.2727359587758622E-3</v>
      </c>
      <c r="D1081">
        <v>3144236576.3845601</v>
      </c>
      <c r="E1081">
        <v>419980897.91249102</v>
      </c>
    </row>
    <row r="1082" spans="1:5" x14ac:dyDescent="0.25">
      <c r="A1082" t="s">
        <v>1111</v>
      </c>
      <c r="B1082">
        <v>9.8066715384606096E-2</v>
      </c>
      <c r="C1082" s="5">
        <f t="shared" si="16"/>
        <v>-2.9432056339326107E-2</v>
      </c>
      <c r="D1082">
        <v>3040403789.1582899</v>
      </c>
      <c r="E1082">
        <v>461060573.77911401</v>
      </c>
    </row>
    <row r="1083" spans="1:5" x14ac:dyDescent="0.25">
      <c r="A1083" t="s">
        <v>1112</v>
      </c>
      <c r="B1083">
        <v>9.2841002440171197E-2</v>
      </c>
      <c r="C1083" s="5">
        <f t="shared" si="16"/>
        <v>-5.3287325102510774E-2</v>
      </c>
      <c r="D1083">
        <v>2885309499.1712499</v>
      </c>
      <c r="E1083">
        <v>500670142.14554697</v>
      </c>
    </row>
    <row r="1084" spans="1:5" x14ac:dyDescent="0.25">
      <c r="A1084" t="s">
        <v>1113</v>
      </c>
      <c r="B1084">
        <v>9.3308168891431897E-2</v>
      </c>
      <c r="C1084" s="5">
        <f t="shared" si="16"/>
        <v>5.0318979651446938E-3</v>
      </c>
      <c r="D1084">
        <v>2907434494.3256798</v>
      </c>
      <c r="E1084">
        <v>367633066.87551802</v>
      </c>
    </row>
    <row r="1085" spans="1:5" x14ac:dyDescent="0.25">
      <c r="A1085" t="s">
        <v>1114</v>
      </c>
      <c r="B1085">
        <v>9.7191808554712697E-2</v>
      </c>
      <c r="C1085" s="5">
        <f t="shared" si="16"/>
        <v>4.1621646951400137E-2</v>
      </c>
      <c r="D1085">
        <v>3028016017.7052102</v>
      </c>
      <c r="E1085">
        <v>377484663.20675802</v>
      </c>
    </row>
    <row r="1086" spans="1:5" x14ac:dyDescent="0.25">
      <c r="A1086" t="s">
        <v>1115</v>
      </c>
      <c r="B1086">
        <v>9.7414569642738993E-2</v>
      </c>
      <c r="C1086" s="5">
        <f t="shared" si="16"/>
        <v>2.2919738951137081E-3</v>
      </c>
      <c r="D1086">
        <v>3029338348.9259701</v>
      </c>
      <c r="E1086">
        <v>392793305.81995702</v>
      </c>
    </row>
    <row r="1087" spans="1:5" x14ac:dyDescent="0.25">
      <c r="A1087" t="s">
        <v>1116</v>
      </c>
      <c r="B1087">
        <v>9.2842317643894307E-2</v>
      </c>
      <c r="C1087" s="5">
        <f t="shared" si="16"/>
        <v>-4.6936018047537442E-2</v>
      </c>
      <c r="D1087">
        <v>2881941763.1659498</v>
      </c>
      <c r="E1087">
        <v>413991398.25980198</v>
      </c>
    </row>
    <row r="1088" spans="1:5" x14ac:dyDescent="0.25">
      <c r="A1088" t="s">
        <v>1117</v>
      </c>
      <c r="B1088">
        <v>9.3561086759173295E-2</v>
      </c>
      <c r="C1088" s="5">
        <f t="shared" si="16"/>
        <v>7.7418265023918575E-3</v>
      </c>
      <c r="D1088">
        <v>2911910358.5480199</v>
      </c>
      <c r="E1088">
        <v>366881297.85094899</v>
      </c>
    </row>
    <row r="1089" spans="1:5" x14ac:dyDescent="0.25">
      <c r="A1089" t="s">
        <v>1118</v>
      </c>
      <c r="B1089">
        <v>9.6232421489897801E-2</v>
      </c>
      <c r="C1089" s="5">
        <f t="shared" si="16"/>
        <v>2.8551771075516985E-2</v>
      </c>
      <c r="D1089">
        <v>2980626238.3061199</v>
      </c>
      <c r="E1089">
        <v>439008699.11178702</v>
      </c>
    </row>
    <row r="1090" spans="1:5" x14ac:dyDescent="0.25">
      <c r="A1090" t="s">
        <v>1119</v>
      </c>
      <c r="B1090">
        <v>0.101903327269077</v>
      </c>
      <c r="C1090" s="5">
        <f t="shared" si="16"/>
        <v>5.8929264081487576E-2</v>
      </c>
      <c r="D1090">
        <v>3171112779.30863</v>
      </c>
      <c r="E1090">
        <v>501320948.735825</v>
      </c>
    </row>
    <row r="1091" spans="1:5" x14ac:dyDescent="0.25">
      <c r="A1091" t="s">
        <v>1120</v>
      </c>
      <c r="B1091">
        <v>0.104968440228129</v>
      </c>
      <c r="C1091" s="5">
        <f t="shared" si="16"/>
        <v>3.0078634733471832E-2</v>
      </c>
      <c r="D1091">
        <v>3266374618.9862299</v>
      </c>
      <c r="E1091">
        <v>591635072.98139203</v>
      </c>
    </row>
    <row r="1092" spans="1:5" x14ac:dyDescent="0.25">
      <c r="A1092" t="s">
        <v>1121</v>
      </c>
      <c r="B1092">
        <v>0.106304286376509</v>
      </c>
      <c r="C1092" s="5">
        <f t="shared" ref="C1092:C1144" si="17">B1092/B1091-1</f>
        <v>1.2726169365542495E-2</v>
      </c>
      <c r="D1092">
        <v>3309735191.8921199</v>
      </c>
      <c r="E1092">
        <v>497461943.02902597</v>
      </c>
    </row>
    <row r="1093" spans="1:5" x14ac:dyDescent="0.25">
      <c r="A1093" t="s">
        <v>1122</v>
      </c>
      <c r="B1093">
        <v>0.109793721956237</v>
      </c>
      <c r="C1093" s="5">
        <f t="shared" si="17"/>
        <v>3.2824975348304308E-2</v>
      </c>
      <c r="D1093">
        <v>3415553093.56498</v>
      </c>
      <c r="E1093">
        <v>564323082.76319396</v>
      </c>
    </row>
    <row r="1094" spans="1:5" x14ac:dyDescent="0.25">
      <c r="A1094" t="s">
        <v>1123</v>
      </c>
      <c r="B1094">
        <v>0.109033567498624</v>
      </c>
      <c r="C1094" s="5">
        <f t="shared" si="17"/>
        <v>-6.9234783562214242E-3</v>
      </c>
      <c r="D1094">
        <v>3395519136.0549698</v>
      </c>
      <c r="E1094">
        <v>577952326.46073103</v>
      </c>
    </row>
    <row r="1095" spans="1:5" x14ac:dyDescent="0.25">
      <c r="A1095" t="s">
        <v>1124</v>
      </c>
      <c r="B1095">
        <v>0.10751534652143099</v>
      </c>
      <c r="C1095" s="5">
        <f t="shared" si="17"/>
        <v>-1.3924344695152469E-2</v>
      </c>
      <c r="D1095">
        <v>3345133523.04071</v>
      </c>
      <c r="E1095">
        <v>505567704.734604</v>
      </c>
    </row>
    <row r="1096" spans="1:5" x14ac:dyDescent="0.25">
      <c r="A1096" t="s">
        <v>1125</v>
      </c>
      <c r="B1096">
        <v>0.10644216730067201</v>
      </c>
      <c r="C1096" s="5">
        <f t="shared" si="17"/>
        <v>-9.9816375566912363E-3</v>
      </c>
      <c r="D1096">
        <v>3314465964.19734</v>
      </c>
      <c r="E1096">
        <v>387251336.26303202</v>
      </c>
    </row>
    <row r="1097" spans="1:5" x14ac:dyDescent="0.25">
      <c r="A1097" t="s">
        <v>1126</v>
      </c>
      <c r="B1097">
        <v>0.10407566612723999</v>
      </c>
      <c r="C1097" s="5">
        <f t="shared" si="17"/>
        <v>-2.2232741341570494E-2</v>
      </c>
      <c r="D1097">
        <v>3242001672.5357199</v>
      </c>
      <c r="E1097">
        <v>391236816.54475099</v>
      </c>
    </row>
    <row r="1098" spans="1:5" x14ac:dyDescent="0.25">
      <c r="A1098" t="s">
        <v>1127</v>
      </c>
      <c r="B1098">
        <v>0.10605877277799799</v>
      </c>
      <c r="C1098" s="5">
        <f t="shared" si="17"/>
        <v>1.905446993088189E-2</v>
      </c>
      <c r="D1098">
        <v>3299812046.1914401</v>
      </c>
      <c r="E1098">
        <v>345640059.13387299</v>
      </c>
    </row>
    <row r="1099" spans="1:5" x14ac:dyDescent="0.25">
      <c r="A1099" t="s">
        <v>1128</v>
      </c>
      <c r="B1099">
        <v>0.107471696022092</v>
      </c>
      <c r="C1099" s="5">
        <f t="shared" si="17"/>
        <v>1.3322078005291837E-2</v>
      </c>
      <c r="D1099">
        <v>3341653969.43538</v>
      </c>
      <c r="E1099">
        <v>330911336.04153401</v>
      </c>
    </row>
    <row r="1100" spans="1:5" x14ac:dyDescent="0.25">
      <c r="A1100" t="s">
        <v>1129</v>
      </c>
      <c r="B1100">
        <v>0.108820939698746</v>
      </c>
      <c r="C1100" s="5">
        <f t="shared" si="17"/>
        <v>1.2554409454714976E-2</v>
      </c>
      <c r="D1100">
        <v>3394722568.4050398</v>
      </c>
      <c r="E1100">
        <v>321415067.34721798</v>
      </c>
    </row>
    <row r="1101" spans="1:5" x14ac:dyDescent="0.25">
      <c r="A1101" t="s">
        <v>1130</v>
      </c>
      <c r="B1101">
        <v>0.102271797916155</v>
      </c>
      <c r="C1101" s="5">
        <f t="shared" si="17"/>
        <v>-6.0182735057437431E-2</v>
      </c>
      <c r="D1101">
        <v>3169112634.17946</v>
      </c>
      <c r="E1101">
        <v>343169733.25904101</v>
      </c>
    </row>
    <row r="1102" spans="1:5" x14ac:dyDescent="0.25">
      <c r="A1102" t="s">
        <v>1131</v>
      </c>
      <c r="B1102">
        <v>0.10578746134929801</v>
      </c>
      <c r="C1102" s="5">
        <f t="shared" si="17"/>
        <v>3.4375688164055118E-2</v>
      </c>
      <c r="D1102">
        <v>3272372921.75385</v>
      </c>
      <c r="E1102">
        <v>367380015.64185297</v>
      </c>
    </row>
    <row r="1103" spans="1:5" x14ac:dyDescent="0.25">
      <c r="A1103" t="s">
        <v>1132</v>
      </c>
      <c r="B1103">
        <v>0.110356086522261</v>
      </c>
      <c r="C1103" s="5">
        <f t="shared" si="17"/>
        <v>4.3186830600631554E-2</v>
      </c>
      <c r="D1103">
        <v>3436167992.5308499</v>
      </c>
      <c r="E1103">
        <v>462511505.598005</v>
      </c>
    </row>
    <row r="1104" spans="1:5" x14ac:dyDescent="0.25">
      <c r="A1104" t="s">
        <v>1133</v>
      </c>
      <c r="B1104">
        <v>0.10793430919150999</v>
      </c>
      <c r="C1104" s="5">
        <f t="shared" si="17"/>
        <v>-2.1945117909400347E-2</v>
      </c>
      <c r="D1104">
        <v>3357855075.64746</v>
      </c>
      <c r="E1104">
        <v>519972088.27896303</v>
      </c>
    </row>
    <row r="1105" spans="1:5" x14ac:dyDescent="0.25">
      <c r="A1105" t="s">
        <v>1134</v>
      </c>
      <c r="B1105">
        <v>0.10797112088057401</v>
      </c>
      <c r="C1105" s="5">
        <f t="shared" si="17"/>
        <v>3.4105641977744128E-4</v>
      </c>
      <c r="D1105">
        <v>3365354295.5736299</v>
      </c>
      <c r="E1105">
        <v>421211790.68699902</v>
      </c>
    </row>
    <row r="1106" spans="1:5" x14ac:dyDescent="0.25">
      <c r="A1106" t="s">
        <v>1135</v>
      </c>
      <c r="B1106">
        <v>0.10627152675491</v>
      </c>
      <c r="C1106" s="5">
        <f t="shared" si="17"/>
        <v>-1.5741191827988055E-2</v>
      </c>
      <c r="D1106">
        <v>3307344837.3174601</v>
      </c>
      <c r="E1106">
        <v>356841711.58470601</v>
      </c>
    </row>
    <row r="1107" spans="1:5" x14ac:dyDescent="0.25">
      <c r="A1107" t="s">
        <v>1136</v>
      </c>
      <c r="B1107">
        <v>0.103267444841419</v>
      </c>
      <c r="C1107" s="5">
        <f t="shared" si="17"/>
        <v>-2.8267984898901477E-2</v>
      </c>
      <c r="D1107">
        <v>3213691939.6106901</v>
      </c>
      <c r="E1107">
        <v>424406451.70942599</v>
      </c>
    </row>
    <row r="1108" spans="1:5" x14ac:dyDescent="0.25">
      <c r="A1108" t="s">
        <v>1137</v>
      </c>
      <c r="B1108">
        <v>0.102686950132358</v>
      </c>
      <c r="C1108" s="5">
        <f t="shared" si="17"/>
        <v>-5.6212750296323888E-3</v>
      </c>
      <c r="D1108">
        <v>3199657282.2722802</v>
      </c>
      <c r="E1108">
        <v>448476360.28761703</v>
      </c>
    </row>
    <row r="1109" spans="1:5" x14ac:dyDescent="0.25">
      <c r="A1109" t="s">
        <v>1138</v>
      </c>
      <c r="B1109">
        <v>9.8944403459350794E-2</v>
      </c>
      <c r="C1109" s="5">
        <f t="shared" si="17"/>
        <v>-3.6446176151723852E-2</v>
      </c>
      <c r="D1109">
        <v>3079262919.9220099</v>
      </c>
      <c r="E1109">
        <v>464168577.06962699</v>
      </c>
    </row>
    <row r="1110" spans="1:5" x14ac:dyDescent="0.25">
      <c r="A1110" t="s">
        <v>1139</v>
      </c>
      <c r="B1110">
        <v>9.5266560842854106E-2</v>
      </c>
      <c r="C1110" s="5">
        <f t="shared" si="17"/>
        <v>-3.7170799842233149E-2</v>
      </c>
      <c r="D1110">
        <v>2971056454.1566601</v>
      </c>
      <c r="E1110">
        <v>469593310.85642397</v>
      </c>
    </row>
    <row r="1111" spans="1:5" x14ac:dyDescent="0.25">
      <c r="A1111" t="s">
        <v>1140</v>
      </c>
      <c r="B1111">
        <v>9.3190459084933605E-2</v>
      </c>
      <c r="C1111" s="5">
        <f t="shared" si="17"/>
        <v>-2.1792554906491346E-2</v>
      </c>
      <c r="D1111">
        <v>2901306193.7403698</v>
      </c>
      <c r="E1111">
        <v>466949288.15202701</v>
      </c>
    </row>
    <row r="1112" spans="1:5" x14ac:dyDescent="0.25">
      <c r="A1112" t="s">
        <v>1141</v>
      </c>
      <c r="B1112">
        <v>9.2869592635892603E-2</v>
      </c>
      <c r="C1112" s="5">
        <f t="shared" si="17"/>
        <v>-3.4431255322883159E-3</v>
      </c>
      <c r="D1112">
        <v>2891746978.3344698</v>
      </c>
      <c r="E1112">
        <v>367673987.30852699</v>
      </c>
    </row>
    <row r="1113" spans="1:5" x14ac:dyDescent="0.25">
      <c r="A1113" t="s">
        <v>1142</v>
      </c>
      <c r="B1113">
        <v>9.7746989912677995E-2</v>
      </c>
      <c r="C1113" s="5">
        <f t="shared" si="17"/>
        <v>5.2518775396246831E-2</v>
      </c>
      <c r="D1113">
        <v>3039022598.4583702</v>
      </c>
      <c r="E1113">
        <v>337986284.85601503</v>
      </c>
    </row>
    <row r="1114" spans="1:5" x14ac:dyDescent="0.25">
      <c r="A1114" t="s">
        <v>1143</v>
      </c>
      <c r="B1114">
        <v>9.2453154286939496E-2</v>
      </c>
      <c r="C1114" s="5">
        <f t="shared" si="17"/>
        <v>-5.4158553940819365E-2</v>
      </c>
      <c r="D1114">
        <v>2886892759.1970701</v>
      </c>
      <c r="E1114">
        <v>385193189.80268103</v>
      </c>
    </row>
    <row r="1115" spans="1:5" x14ac:dyDescent="0.25">
      <c r="A1115" t="s">
        <v>1144</v>
      </c>
      <c r="B1115">
        <v>9.3631080743091399E-2</v>
      </c>
      <c r="C1115" s="5">
        <f t="shared" si="17"/>
        <v>1.2740792515267385E-2</v>
      </c>
      <c r="D1115">
        <v>2910039543.75842</v>
      </c>
      <c r="E1115">
        <v>401038375.49005502</v>
      </c>
    </row>
    <row r="1116" spans="1:5" x14ac:dyDescent="0.25">
      <c r="A1116" t="s">
        <v>1145</v>
      </c>
      <c r="B1116">
        <v>9.5377437610329893E-2</v>
      </c>
      <c r="C1116" s="5">
        <f t="shared" si="17"/>
        <v>1.8651465446930082E-2</v>
      </c>
      <c r="D1116">
        <v>2966611626.02847</v>
      </c>
      <c r="E1116">
        <v>439427002.45002902</v>
      </c>
    </row>
    <row r="1117" spans="1:5" x14ac:dyDescent="0.25">
      <c r="A1117" t="s">
        <v>1146</v>
      </c>
      <c r="B1117">
        <v>9.7505822632668201E-2</v>
      </c>
      <c r="C1117" s="5">
        <f t="shared" si="17"/>
        <v>2.2315393196386202E-2</v>
      </c>
      <c r="D1117">
        <v>3031965032.51687</v>
      </c>
      <c r="E1117">
        <v>419487840.16939098</v>
      </c>
    </row>
    <row r="1118" spans="1:5" x14ac:dyDescent="0.25">
      <c r="A1118" t="s">
        <v>1147</v>
      </c>
      <c r="B1118">
        <v>0.108890102522001</v>
      </c>
      <c r="C1118" s="5">
        <f t="shared" si="17"/>
        <v>0.1167548724984413</v>
      </c>
      <c r="D1118">
        <v>3390614216.40657</v>
      </c>
      <c r="E1118">
        <v>584959788.10985005</v>
      </c>
    </row>
    <row r="1119" spans="1:5" x14ac:dyDescent="0.25">
      <c r="A1119" t="s">
        <v>1148</v>
      </c>
      <c r="B1119">
        <v>0.101353359598107</v>
      </c>
      <c r="C1119" s="5">
        <f t="shared" si="17"/>
        <v>-6.9214214601104107E-2</v>
      </c>
      <c r="D1119">
        <v>3164398837.14574</v>
      </c>
      <c r="E1119">
        <v>648559415.76095402</v>
      </c>
    </row>
    <row r="1120" spans="1:5" x14ac:dyDescent="0.25">
      <c r="A1120" t="s">
        <v>1149</v>
      </c>
      <c r="B1120">
        <v>0.10639524787907099</v>
      </c>
      <c r="C1120" s="5">
        <f t="shared" si="17"/>
        <v>4.9745645343740152E-2</v>
      </c>
      <c r="D1120">
        <v>3319828324.1803899</v>
      </c>
      <c r="E1120">
        <v>460824005.01438802</v>
      </c>
    </row>
    <row r="1121" spans="1:5" x14ac:dyDescent="0.25">
      <c r="A1121" t="s">
        <v>1150</v>
      </c>
      <c r="B1121">
        <v>0.105366065932383</v>
      </c>
      <c r="C1121" s="5">
        <f t="shared" si="17"/>
        <v>-9.6731946887117504E-3</v>
      </c>
      <c r="D1121">
        <v>3276824107.2011199</v>
      </c>
      <c r="E1121">
        <v>518814683.61198401</v>
      </c>
    </row>
    <row r="1122" spans="1:5" x14ac:dyDescent="0.25">
      <c r="A1122" t="s">
        <v>1151</v>
      </c>
      <c r="B1122">
        <v>0.105628142317214</v>
      </c>
      <c r="C1122" s="5">
        <f t="shared" si="17"/>
        <v>2.487294011709551E-3</v>
      </c>
      <c r="D1122">
        <v>3287678333.8982902</v>
      </c>
      <c r="E1122">
        <v>461012942.81823403</v>
      </c>
    </row>
    <row r="1123" spans="1:5" x14ac:dyDescent="0.25">
      <c r="A1123" t="s">
        <v>1152</v>
      </c>
      <c r="B1123">
        <v>0.10580327053440799</v>
      </c>
      <c r="C1123" s="5">
        <f t="shared" si="17"/>
        <v>1.6579693001517182E-3</v>
      </c>
      <c r="D1123">
        <v>3290905250.28406</v>
      </c>
      <c r="E1123">
        <v>433570799.796426</v>
      </c>
    </row>
    <row r="1124" spans="1:5" x14ac:dyDescent="0.25">
      <c r="A1124" t="s">
        <v>1153</v>
      </c>
      <c r="B1124">
        <v>0.10437917506429201</v>
      </c>
      <c r="C1124" s="5">
        <f t="shared" si="17"/>
        <v>-1.3459843565543306E-2</v>
      </c>
      <c r="D1124">
        <v>3255081954.2599502</v>
      </c>
      <c r="E1124">
        <v>415958086.93706203</v>
      </c>
    </row>
    <row r="1125" spans="1:5" x14ac:dyDescent="0.25">
      <c r="A1125" t="s">
        <v>1154</v>
      </c>
      <c r="B1125">
        <v>0.106301234383661</v>
      </c>
      <c r="C1125" s="5">
        <f t="shared" si="17"/>
        <v>1.8414203007305785E-2</v>
      </c>
      <c r="D1125">
        <v>3303659619.0316701</v>
      </c>
      <c r="E1125">
        <v>370453034.93514299</v>
      </c>
    </row>
    <row r="1126" spans="1:5" x14ac:dyDescent="0.25">
      <c r="A1126" t="s">
        <v>1155</v>
      </c>
      <c r="B1126">
        <v>0.104306808760884</v>
      </c>
      <c r="C1126" s="5">
        <f t="shared" si="17"/>
        <v>-1.8762017528213715E-2</v>
      </c>
      <c r="D1126">
        <v>3248323140.86796</v>
      </c>
      <c r="E1126">
        <v>372055933.61831099</v>
      </c>
    </row>
    <row r="1127" spans="1:5" x14ac:dyDescent="0.25">
      <c r="A1127" t="s">
        <v>1156</v>
      </c>
      <c r="B1127">
        <v>0.100736526244255</v>
      </c>
      <c r="C1127" s="5">
        <f t="shared" si="17"/>
        <v>-3.4228662146242206E-2</v>
      </c>
      <c r="D1127">
        <v>3131952630.2097301</v>
      </c>
      <c r="E1127">
        <v>308740738.19558501</v>
      </c>
    </row>
    <row r="1128" spans="1:5" x14ac:dyDescent="0.25">
      <c r="A1128" t="s">
        <v>1157</v>
      </c>
      <c r="B1128">
        <v>0.103904595230397</v>
      </c>
      <c r="C1128" s="5">
        <f t="shared" si="17"/>
        <v>3.1449059286205783E-2</v>
      </c>
      <c r="D1128">
        <v>3234662117.37918</v>
      </c>
      <c r="E1128">
        <v>320419642.17513603</v>
      </c>
    </row>
    <row r="1129" spans="1:5" x14ac:dyDescent="0.25">
      <c r="A1129" t="s">
        <v>1158</v>
      </c>
      <c r="B1129">
        <v>0.109485246436319</v>
      </c>
      <c r="C1129" s="5">
        <f t="shared" si="17"/>
        <v>5.3709378238253391E-2</v>
      </c>
      <c r="D1129">
        <v>3406699744.0108099</v>
      </c>
      <c r="E1129">
        <v>486808926.93785602</v>
      </c>
    </row>
    <row r="1130" spans="1:5" x14ac:dyDescent="0.25">
      <c r="A1130" t="s">
        <v>1159</v>
      </c>
      <c r="B1130">
        <v>0.106763042876169</v>
      </c>
      <c r="C1130" s="5">
        <f t="shared" si="17"/>
        <v>-2.4863656508581244E-2</v>
      </c>
      <c r="D1130">
        <v>3322010614.40061</v>
      </c>
      <c r="E1130">
        <v>513742217.26780403</v>
      </c>
    </row>
    <row r="1131" spans="1:5" x14ac:dyDescent="0.25">
      <c r="A1131" t="s">
        <v>1160</v>
      </c>
      <c r="B1131">
        <v>0.105803087454804</v>
      </c>
      <c r="C1131" s="5">
        <f t="shared" si="17"/>
        <v>-8.9914580505018327E-3</v>
      </c>
      <c r="D1131">
        <v>3287796634.82374</v>
      </c>
      <c r="E1131">
        <v>412896181.471623</v>
      </c>
    </row>
    <row r="1132" spans="1:5" x14ac:dyDescent="0.25">
      <c r="A1132" t="s">
        <v>1161</v>
      </c>
      <c r="B1132">
        <v>0.117635665256751</v>
      </c>
      <c r="C1132" s="5">
        <f t="shared" si="17"/>
        <v>0.11183584606641572</v>
      </c>
      <c r="D1132">
        <v>3656423579.4555998</v>
      </c>
      <c r="E1132">
        <v>531264881.55510002</v>
      </c>
    </row>
    <row r="1133" spans="1:5" x14ac:dyDescent="0.25">
      <c r="A1133" t="s">
        <v>1162</v>
      </c>
      <c r="B1133">
        <v>0.132731321883233</v>
      </c>
      <c r="C1133" s="5">
        <f t="shared" si="17"/>
        <v>0.12832550904977924</v>
      </c>
      <c r="D1133">
        <v>4131921042.5383</v>
      </c>
      <c r="E1133">
        <v>1080788757.9791601</v>
      </c>
    </row>
    <row r="1134" spans="1:5" x14ac:dyDescent="0.25">
      <c r="A1134" t="s">
        <v>1163</v>
      </c>
      <c r="B1134">
        <v>0.14527293189696999</v>
      </c>
      <c r="C1134" s="5">
        <f t="shared" si="17"/>
        <v>9.4488699696445133E-2</v>
      </c>
      <c r="D1134">
        <v>4550731601.2723598</v>
      </c>
      <c r="E1134">
        <v>1813283784.3966501</v>
      </c>
    </row>
    <row r="1135" spans="1:5" x14ac:dyDescent="0.25">
      <c r="A1135" t="s">
        <v>1164</v>
      </c>
      <c r="B1135">
        <v>0.15357163877237501</v>
      </c>
      <c r="C1135" s="5">
        <f t="shared" si="17"/>
        <v>5.7124935574994762E-2</v>
      </c>
      <c r="D1135">
        <v>4725945643.4646797</v>
      </c>
      <c r="E1135">
        <v>1583345915.53016</v>
      </c>
    </row>
    <row r="1136" spans="1:5" x14ac:dyDescent="0.25">
      <c r="A1136" t="s">
        <v>1165</v>
      </c>
      <c r="B1136">
        <v>0.16679998039078001</v>
      </c>
      <c r="C1136" s="5">
        <f t="shared" si="17"/>
        <v>8.6137920544119062E-2</v>
      </c>
      <c r="D1136">
        <v>5164269458.9735203</v>
      </c>
      <c r="E1136">
        <v>2041517251.6236801</v>
      </c>
    </row>
    <row r="1137" spans="1:5" x14ac:dyDescent="0.25">
      <c r="A1137" t="s">
        <v>1166</v>
      </c>
      <c r="B1137">
        <v>0.15568756264723799</v>
      </c>
      <c r="C1137" s="5">
        <f t="shared" si="17"/>
        <v>-6.6621217325732118E-2</v>
      </c>
      <c r="D1137">
        <v>4799088754.2034502</v>
      </c>
      <c r="E1137">
        <v>1262110958.14639</v>
      </c>
    </row>
    <row r="1138" spans="1:5" x14ac:dyDescent="0.25">
      <c r="A1138" t="s">
        <v>1167</v>
      </c>
      <c r="B1138">
        <v>0.13746123800447299</v>
      </c>
      <c r="C1138" s="5">
        <f t="shared" si="17"/>
        <v>-0.1170698823518922</v>
      </c>
      <c r="D1138">
        <v>4276578257.5184698</v>
      </c>
      <c r="E1138">
        <v>1613109992.2279799</v>
      </c>
    </row>
    <row r="1139" spans="1:5" x14ac:dyDescent="0.25">
      <c r="A1139" t="s">
        <v>1168</v>
      </c>
      <c r="B1139">
        <v>0.14063947526168899</v>
      </c>
      <c r="C1139" s="5">
        <f t="shared" si="17"/>
        <v>2.3120970706757227E-2</v>
      </c>
      <c r="D1139">
        <v>4346114303.8070602</v>
      </c>
      <c r="E1139">
        <v>1075587570.26179</v>
      </c>
    </row>
    <row r="1140" spans="1:5" x14ac:dyDescent="0.25">
      <c r="A1140" t="s">
        <v>1169</v>
      </c>
      <c r="B1140">
        <v>0.16471768109030199</v>
      </c>
      <c r="C1140" s="5">
        <f t="shared" si="17"/>
        <v>0.17120517396563439</v>
      </c>
      <c r="D1140">
        <v>5124805753.7838001</v>
      </c>
      <c r="E1140">
        <v>1570661467.27233</v>
      </c>
    </row>
    <row r="1141" spans="1:5" x14ac:dyDescent="0.25">
      <c r="A1141" t="s">
        <v>1170</v>
      </c>
      <c r="B1141">
        <v>0.166402387145662</v>
      </c>
      <c r="C1141" s="5">
        <f t="shared" si="17"/>
        <v>1.0227839805712291E-2</v>
      </c>
      <c r="D1141">
        <v>5139050069.1580296</v>
      </c>
      <c r="E1141">
        <v>1365586028.75318</v>
      </c>
    </row>
    <row r="1142" spans="1:5" x14ac:dyDescent="0.25">
      <c r="A1142" t="s">
        <v>1171</v>
      </c>
      <c r="B1142">
        <v>0.170500594268443</v>
      </c>
      <c r="C1142" s="5">
        <f t="shared" si="17"/>
        <v>2.4628295261134747E-2</v>
      </c>
      <c r="D1142">
        <v>5342764712.8537598</v>
      </c>
      <c r="E1142">
        <v>1526479658.45579</v>
      </c>
    </row>
    <row r="1143" spans="1:5" x14ac:dyDescent="0.25">
      <c r="A1143" t="s">
        <v>1172</v>
      </c>
      <c r="B1143">
        <v>0.15621673213950699</v>
      </c>
      <c r="C1143" s="5">
        <f t="shared" si="17"/>
        <v>-8.3776025475001736E-2</v>
      </c>
      <c r="D1143">
        <v>4854424503.9892197</v>
      </c>
      <c r="E1143">
        <v>1454582580.93156</v>
      </c>
    </row>
    <row r="1144" spans="1:5" x14ac:dyDescent="0.25">
      <c r="A1144" t="s">
        <v>1173</v>
      </c>
      <c r="B1144">
        <v>0.158971304439813</v>
      </c>
      <c r="C1144" s="5">
        <f t="shared" si="17"/>
        <v>1.7633017043565458E-2</v>
      </c>
      <c r="D1144">
        <v>4950496021.0809402</v>
      </c>
      <c r="E1144">
        <v>994449650.27610803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Calculator</vt:lpstr>
      <vt:lpstr>ada_usd</vt:lpstr>
      <vt:lpstr>ex.rate</vt:lpstr>
      <vt:lpstr>ex.rate2</vt:lpstr>
      <vt:lpstr>purchases</vt:lpstr>
      <vt:lpstr>ROS</vt:lpstr>
      <vt:lpstr>target_income</vt:lpstr>
      <vt:lpstr>target_income_result</vt:lpstr>
      <vt:lpstr>time_horizon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uss</dc:creator>
  <cp:lastModifiedBy>uss</cp:lastModifiedBy>
  <dcterms:created xsi:type="dcterms:W3CDTF">2020-12-02T21:34:05Z</dcterms:created>
  <dcterms:modified xsi:type="dcterms:W3CDTF">2020-12-04T02:11:04Z</dcterms:modified>
</cp:coreProperties>
</file>